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amp; Instructions" sheetId="1" state="visible" r:id="rId1"/>
    <sheet name="Judge-Human Audit" sheetId="2" state="visible" r:id="rId2"/>
    <sheet name="Difficult Cases" sheetId="3" state="visible" r:id="rId3"/>
    <sheet name="Assistant Suggestions" sheetId="4" state="visible" r:id="rId4"/>
    <sheet name="Suggested Human Ratings" sheetId="5" state="visible" r:id="rId5"/>
  </sheets>
  <definedNames>
    <definedName name="_xlnm._FilterDatabase" localSheetId="4" hidden="1">'Suggested Human Ratings'!$A$3:$G$53</definedName>
  </definedNames>
  <calcPr calcId="124519" fullCalcOnLoad="1"/>
</workbook>
</file>

<file path=xl/styles.xml><?xml version="1.0" encoding="utf-8"?>
<styleSheet xmlns="http://schemas.openxmlformats.org/spreadsheetml/2006/main">
  <numFmts count="1">
    <numFmt numFmtId="164" formatCode="0.0%"/>
  </numFmts>
  <fonts count="22">
    <font>
      <name val="Calibri"/>
      <family val="2"/>
      <color theme="1"/>
      <sz val="11"/>
      <scheme val="minor"/>
    </font>
    <font>
      <name val="Calibri"/>
      <b val="1"/>
      <color rgb="001E3A8A"/>
      <sz val="14"/>
    </font>
    <font>
      <name val="Calibri"/>
      <b val="1"/>
      <color rgb="00991B1B"/>
      <sz val="10"/>
    </font>
    <font>
      <name val="Calibri"/>
      <b val="1"/>
      <color rgb="001E3A8A"/>
      <sz val="10"/>
    </font>
    <font>
      <name val="Calibri"/>
      <b val="1"/>
      <color rgb="001E3A8A"/>
      <sz val="11"/>
    </font>
    <font>
      <name val="Calibri"/>
      <b val="1"/>
      <sz val="10"/>
    </font>
    <font>
      <name val="Calibri"/>
      <color rgb="000F172A"/>
      <sz val="9"/>
    </font>
    <font>
      <name val="Calibri"/>
      <b val="1"/>
      <color rgb="000284C7"/>
      <sz val="10"/>
    </font>
    <font>
      <name val="Calibri"/>
      <b val="1"/>
      <color rgb="00FFFFFF"/>
      <sz val="12"/>
    </font>
    <font>
      <name val="Calibri"/>
      <b val="1"/>
      <color rgb="00059669"/>
      <sz val="10"/>
    </font>
    <font>
      <name val="Calibri"/>
      <b val="1"/>
      <color rgb="00D97706"/>
      <sz val="10"/>
    </font>
    <font>
      <name val="Calibri"/>
      <b val="1"/>
      <color rgb="002563EB"/>
      <sz val="10"/>
    </font>
    <font>
      <name val="Calibri"/>
      <i val="1"/>
      <color rgb="00334155"/>
      <sz val="9"/>
    </font>
    <font>
      <name val="Calibri"/>
      <b val="1"/>
      <color rgb="00FFFFFF"/>
      <sz val="11"/>
    </font>
    <font>
      <name val="Calibri"/>
      <b val="1"/>
      <color rgb="00FFFFFF"/>
      <sz val="10"/>
    </font>
    <font>
      <name val="Consolas"/>
      <b val="1"/>
      <color rgb="001E3A8A"/>
      <sz val="9"/>
    </font>
    <font>
      <name val="Calibri"/>
      <b val="1"/>
      <color rgb="00991B1B"/>
      <sz val="9"/>
    </font>
    <font>
      <name val="Calibri"/>
      <b val="1"/>
      <color rgb="00059669"/>
      <sz val="9"/>
    </font>
    <font>
      <name val="Calibri"/>
      <b val="1"/>
      <color rgb="000F172A"/>
      <sz val="9"/>
    </font>
    <font>
      <name val="Calibri"/>
      <color rgb="00475569"/>
      <sz val="9"/>
    </font>
    <font>
      <name val="Calibri"/>
      <i val="1"/>
      <color rgb="0064748B"/>
      <sz val="10"/>
    </font>
    <font>
      <name val="Calibri"/>
      <i val="1"/>
      <color rgb="00595959"/>
      <sz val="10"/>
    </font>
  </fonts>
  <fills count="16">
    <fill>
      <patternFill/>
    </fill>
    <fill>
      <patternFill patternType="gray125"/>
    </fill>
    <fill>
      <patternFill patternType="solid">
        <fgColor rgb="001E3A8A"/>
        <bgColor rgb="001E3A8A"/>
      </patternFill>
    </fill>
    <fill>
      <patternFill patternType="solid">
        <fgColor rgb="00FEF2F2"/>
        <bgColor rgb="00FEF2F2"/>
      </patternFill>
    </fill>
    <fill>
      <patternFill patternType="solid">
        <fgColor rgb="00F1F5F9"/>
        <bgColor rgb="00F1F5F9"/>
      </patternFill>
    </fill>
    <fill>
      <patternFill patternType="solid">
        <fgColor rgb="00334155"/>
        <bgColor rgb="00334155"/>
      </patternFill>
    </fill>
    <fill>
      <patternFill patternType="solid">
        <fgColor rgb="000284C7"/>
        <bgColor rgb="000284C7"/>
      </patternFill>
    </fill>
    <fill>
      <patternFill patternType="solid">
        <fgColor rgb="00059669"/>
        <bgColor rgb="00059669"/>
      </patternFill>
    </fill>
    <fill>
      <patternFill patternType="solid">
        <fgColor rgb="00475569"/>
        <bgColor rgb="00475569"/>
      </patternFill>
    </fill>
    <fill>
      <patternFill patternType="solid">
        <fgColor rgb="000369A1"/>
        <bgColor rgb="000369A1"/>
      </patternFill>
    </fill>
    <fill>
      <patternFill patternType="solid">
        <fgColor rgb="00FEE2E2"/>
        <bgColor rgb="00FEE2E2"/>
      </patternFill>
    </fill>
    <fill>
      <patternFill patternType="solid">
        <fgColor rgb="00ECFDF5"/>
        <bgColor rgb="00ECFDF5"/>
      </patternFill>
    </fill>
    <fill>
      <patternFill patternType="solid">
        <fgColor rgb="00F8FAFC"/>
        <bgColor rgb="00F8FAFC"/>
      </patternFill>
    </fill>
    <fill>
      <patternFill patternType="solid">
        <fgColor rgb="00B91C1C"/>
        <bgColor rgb="00B91C1C"/>
      </patternFill>
    </fill>
    <fill>
      <patternFill patternType="solid">
        <fgColor rgb="001F497D"/>
        <bgColor rgb="001F497D"/>
      </patternFill>
    </fill>
    <fill>
      <patternFill patternType="solid">
        <fgColor rgb="002E75B6"/>
        <bgColor rgb="002E75B6"/>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medium">
        <color rgb="00475569"/>
      </right>
      <top style="thin">
        <color rgb="00CBD5E1"/>
      </top>
      <bottom style="thin">
        <color rgb="00CBD5E1"/>
      </bottom>
    </border>
  </borders>
  <cellStyleXfs count="1">
    <xf numFmtId="0" fontId="0" fillId="0" borderId="0"/>
  </cellStyleXfs>
  <cellXfs count="5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horizontal="center" vertical="center"/>
    </xf>
    <xf numFmtId="0" fontId="2" fillId="3" borderId="0" applyAlignment="1" pivotButton="0" quotePrefix="0" xfId="0">
      <alignment horizontal="left" vertical="center" indent="1"/>
    </xf>
    <xf numFmtId="0" fontId="9" fillId="0" borderId="0" pivotButton="0" quotePrefix="0" xfId="0"/>
    <xf numFmtId="0" fontId="10" fillId="0" borderId="0" pivotButton="0" quotePrefix="0" xfId="0"/>
    <xf numFmtId="164" fontId="3" fillId="0" borderId="0" pivotButton="0" quotePrefix="0" xfId="0"/>
    <xf numFmtId="0" fontId="11" fillId="0" borderId="0" pivotButton="0" quotePrefix="0" xfId="0"/>
    <xf numFmtId="0" fontId="12" fillId="4" borderId="0" applyAlignment="1" pivotButton="0" quotePrefix="0" xfId="0">
      <alignment horizontal="left" vertical="center" indent="1"/>
    </xf>
    <xf numFmtId="0" fontId="13" fillId="5" borderId="0" applyAlignment="1" pivotButton="0" quotePrefix="0" xfId="0">
      <alignment horizontal="center" vertical="center"/>
    </xf>
    <xf numFmtId="0" fontId="13" fillId="6" borderId="0" applyAlignment="1" pivotButton="0" quotePrefix="0" xfId="0">
      <alignment horizontal="center" vertical="center"/>
    </xf>
    <xf numFmtId="0" fontId="13" fillId="7" borderId="0" applyAlignment="1" pivotButton="0" quotePrefix="0" xfId="0">
      <alignment horizontal="center" vertical="center"/>
    </xf>
    <xf numFmtId="0" fontId="14" fillId="8" borderId="1" applyAlignment="1" pivotButton="0" quotePrefix="0" xfId="0">
      <alignment horizontal="center" vertical="center" wrapText="1"/>
    </xf>
    <xf numFmtId="0" fontId="14" fillId="9" borderId="1" applyAlignment="1" pivotButton="0" quotePrefix="0" xfId="0">
      <alignment horizontal="center" vertical="center" wrapText="1"/>
    </xf>
    <xf numFmtId="0" fontId="14" fillId="6" borderId="1" applyAlignment="1" pivotButton="0" quotePrefix="0" xfId="0">
      <alignment horizontal="center" vertical="center" wrapText="1"/>
    </xf>
    <xf numFmtId="0" fontId="14" fillId="7" borderId="1" applyAlignment="1" pivotButton="0" quotePrefix="0" xfId="0">
      <alignment horizontal="center" vertical="center" wrapText="1"/>
    </xf>
    <xf numFmtId="0" fontId="15" fillId="12" borderId="1" applyAlignment="1" pivotButton="0" quotePrefix="0" xfId="0">
      <alignment horizontal="center" vertical="center"/>
    </xf>
    <xf numFmtId="0" fontId="6" fillId="12" borderId="1" applyAlignment="1" pivotButton="0" quotePrefix="0" xfId="0">
      <alignment horizontal="left" vertical="center" wrapText="1"/>
    </xf>
    <xf numFmtId="0" fontId="16" fillId="10" borderId="2" applyAlignment="1" pivotButton="0" quotePrefix="0" xfId="0">
      <alignment horizontal="left" vertical="center" wrapText="1"/>
    </xf>
    <xf numFmtId="0" fontId="5" fillId="12" borderId="1" applyAlignment="1" pivotButton="0" quotePrefix="0" xfId="0">
      <alignment horizontal="center" vertical="center"/>
    </xf>
    <xf numFmtId="0" fontId="6" fillId="12" borderId="2" applyAlignment="1" pivotButton="0" quotePrefix="0" xfId="0">
      <alignment horizontal="left" vertical="center" wrapText="1"/>
    </xf>
    <xf numFmtId="0" fontId="17" fillId="12" borderId="1" applyAlignment="1" pivotButton="0" quotePrefix="0" xfId="0">
      <alignment horizontal="center" vertical="center"/>
    </xf>
    <xf numFmtId="0" fontId="9" fillId="11" borderId="1" applyAlignment="1" pivotButton="0" quotePrefix="0" xfId="0">
      <alignment horizontal="center" vertical="center"/>
    </xf>
    <xf numFmtId="0" fontId="18" fillId="12" borderId="1" applyAlignment="1" pivotButton="0" quotePrefix="0" xfId="0">
      <alignment horizontal="center" vertical="center"/>
    </xf>
    <xf numFmtId="0" fontId="15" fillId="0" borderId="1" applyAlignment="1" pivotButton="0" quotePrefix="0" xfId="0">
      <alignment horizontal="center" vertical="center"/>
    </xf>
    <xf numFmtId="0" fontId="6" fillId="0" borderId="1" applyAlignment="1" pivotButton="0" quotePrefix="0" xfId="0">
      <alignment horizontal="left" vertical="center" wrapText="1"/>
    </xf>
    <xf numFmtId="0" fontId="5" fillId="0" borderId="1" applyAlignment="1" pivotButton="0" quotePrefix="0" xfId="0">
      <alignment horizontal="center" vertical="center"/>
    </xf>
    <xf numFmtId="0" fontId="6" fillId="0" borderId="2" applyAlignment="1" pivotButton="0" quotePrefix="0" xfId="0">
      <alignment horizontal="left" vertical="center" wrapText="1"/>
    </xf>
    <xf numFmtId="0" fontId="17" fillId="0" borderId="1" applyAlignment="1" pivotButton="0" quotePrefix="0" xfId="0">
      <alignment horizontal="center" vertical="center"/>
    </xf>
    <xf numFmtId="0" fontId="18" fillId="0" borderId="1" applyAlignment="1" pivotButton="0" quotePrefix="0" xfId="0">
      <alignment horizontal="center" vertical="center"/>
    </xf>
    <xf numFmtId="0" fontId="19" fillId="0" borderId="2" applyAlignment="1" pivotButton="0" quotePrefix="0" xfId="0">
      <alignment horizontal="left" vertical="center" wrapText="1"/>
    </xf>
    <xf numFmtId="0" fontId="1" fillId="0" borderId="0" applyAlignment="1" pivotButton="0" quotePrefix="0" xfId="0">
      <alignment horizontal="center" vertical="center"/>
    </xf>
    <xf numFmtId="0" fontId="20" fillId="0" borderId="0" applyAlignment="1" pivotButton="0" quotePrefix="0" xfId="0">
      <alignment horizontal="center" vertical="center"/>
    </xf>
    <xf numFmtId="0" fontId="14" fillId="13" borderId="1" applyAlignment="1" pivotButton="0" quotePrefix="0" xfId="0">
      <alignment horizontal="center" vertical="center"/>
    </xf>
    <xf numFmtId="0" fontId="16" fillId="0" borderId="1" applyAlignment="1" pivotButton="0" quotePrefix="0" xfId="0">
      <alignment horizontal="left" vertical="center" wrapText="1"/>
    </xf>
    <xf numFmtId="0" fontId="21" fillId="0" borderId="0" pivotButton="0" quotePrefix="0" xfId="0"/>
    <xf numFmtId="0" fontId="14" fillId="14" borderId="0" applyAlignment="1" pivotButton="0" quotePrefix="0" xfId="0">
      <alignment horizontal="center" vertical="center"/>
    </xf>
    <xf numFmtId="0" fontId="14" fillId="15" borderId="0" applyAlignment="1" pivotButton="0" quotePrefix="0" xfId="0">
      <alignment horizontal="center" vertical="center"/>
    </xf>
    <xf numFmtId="0" fontId="6" fillId="0" borderId="1" applyAlignment="1" pivotButton="0" quotePrefix="0" xfId="0">
      <alignment horizontal="center" vertical="center"/>
    </xf>
    <xf numFmtId="0" fontId="1" fillId="0" borderId="0" applyAlignment="1" pivotButton="0" quotePrefix="0" xfId="0">
      <alignment horizontal="left" vertical="center"/>
    </xf>
    <xf numFmtId="0" fontId="21" fillId="0" borderId="0" applyAlignment="1" pivotButton="0" quotePrefix="0" xfId="0">
      <alignment horizontal="left" vertical="center"/>
    </xf>
    <xf numFmtId="0" fontId="14" fillId="2" borderId="1" applyAlignment="1" pivotButton="0" quotePrefix="0" xfId="0">
      <alignment horizontal="center" vertical="center"/>
    </xf>
    <xf numFmtId="0" fontId="14" fillId="6" borderId="1" applyAlignment="1" pivotButton="0" quotePrefix="0" xfId="0">
      <alignment horizontal="center" vertical="center"/>
    </xf>
    <xf numFmtId="0" fontId="14" fillId="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showGridLines="1" workbookViewId="0">
      <selection activeCell="A1" sqref="A1"/>
    </sheetView>
  </sheetViews>
  <sheetFormatPr baseColWidth="8" defaultRowHeight="15"/>
  <cols>
    <col width="24" customWidth="1" min="1" max="1"/>
    <col width="95" customWidth="1" min="2" max="2"/>
  </cols>
  <sheetData>
    <row r="1" ht="28" customHeight="1">
      <c r="A1" s="1" t="inlineStr">
        <is>
          <t>STEP 4C: HUMAN AUDIT WORKBOOK — REVIEW GUIDE</t>
        </is>
      </c>
    </row>
    <row r="3" ht="22" customHeight="1">
      <c r="A3" s="2" t="inlineStr">
        <is>
          <t>MANDATORY INTEGRITY NOTICE</t>
        </is>
      </c>
      <c r="B3" s="3" t="inlineStr">
        <is>
          <t>Assistant Suggestions are review aids only. Human ratings must be independently reviewed.</t>
        </is>
      </c>
    </row>
    <row r="4" ht="22" customHeight="1">
      <c r="A4" s="2" t="inlineStr">
        <is>
          <t>EXPLICIT ACTION REQUIREMENT</t>
        </is>
      </c>
      <c r="B4" s="3" t="inlineStr">
        <is>
          <t>Clicking 'Accept Assistant Suggestion' or selecting scores is an explicit human action. No fields are filled automatically.</t>
        </is>
      </c>
    </row>
    <row r="5" ht="22" customHeight="1">
      <c r="A5" s="2" t="inlineStr">
        <is>
          <t>ZERO FABRICATION</t>
        </is>
      </c>
      <c r="B5" s="3" t="inlineStr">
        <is>
          <t>Do not invent human notes, timestamps, or approvals. Every rating represents sovereign human judgment.</t>
        </is>
      </c>
    </row>
    <row r="7">
      <c r="A7" s="4" t="inlineStr">
        <is>
          <t>WORKBOOK STRUCTURE</t>
        </is>
      </c>
    </row>
    <row r="8" ht="20" customHeight="1">
      <c r="A8" s="5" t="inlineStr">
        <is>
          <t>1. README &amp; Instructions</t>
        </is>
      </c>
      <c r="B8" s="6" t="inlineStr">
        <is>
          <t>Overview, operational integrity rules, scoring scale, and workflow instructions.</t>
        </is>
      </c>
    </row>
    <row r="9" ht="20" customHeight="1">
      <c r="A9" s="5" t="inlineStr">
        <is>
          <t>2. Judge-Human Audit</t>
        </is>
      </c>
      <c r="B9" s="6" t="inlineStr">
        <is>
          <t>Active review interface with frozen panes, 1–5 dropdown validations, side-by-side comparison, explicit 'Accept Assistant Suggestion' trigger, and progress dashboard.</t>
        </is>
      </c>
    </row>
    <row r="10" ht="20" customHeight="1">
      <c r="A10" s="5" t="inlineStr">
        <is>
          <t>3. Difficult Cases</t>
        </is>
      </c>
      <c r="B10" s="6" t="inlineStr">
        <is>
          <t>Pre-filtered priority view isolating cases with large Judge-Assistant divergences (diff &gt;= 2), escalation disputes, or low groundedness/policy scores.</t>
        </is>
      </c>
    </row>
    <row r="11" ht="20" customHeight="1">
      <c r="A11" s="5" t="inlineStr">
        <is>
          <t>4. Assistant Suggestions</t>
        </is>
      </c>
      <c r="B11" s="6" t="inlineStr">
        <is>
          <t>Reference library with all 50 assistant suggestions, breakdown across 5 dimensions, and detailed context rationales.</t>
        </is>
      </c>
    </row>
    <row r="13">
      <c r="A13" s="4" t="inlineStr">
        <is>
          <t>SCORING RUBRIC (Scale 1 to 5)</t>
        </is>
      </c>
    </row>
    <row r="14" ht="20" customHeight="1">
      <c r="A14" s="7" t="inlineStr">
        <is>
          <t>5 = Excellent</t>
        </is>
      </c>
      <c r="B14" s="6" t="inlineStr">
        <is>
          <t>Flawless execution; completely accurate policy advice, customer-friendly, grounded, safe DM transfer.</t>
        </is>
      </c>
    </row>
    <row r="15" ht="20" customHeight="1">
      <c r="A15" s="7" t="inlineStr">
        <is>
          <t>4 = Good</t>
        </is>
      </c>
      <c r="B15" s="6" t="inlineStr">
        <is>
          <t>Accurate with clear next steps and polite tone; minor cosmetic room for improvement.</t>
        </is>
      </c>
    </row>
    <row r="16" ht="20" customHeight="1">
      <c r="A16" s="7" t="inlineStr">
        <is>
          <t>3 = Acceptable / Mixed</t>
        </is>
      </c>
      <c r="B16" s="6" t="inlineStr">
        <is>
          <t>Partially correct or general advice; misses specific nuances or requires customer follow-up.</t>
        </is>
      </c>
    </row>
    <row r="17" ht="20" customHeight="1">
      <c r="A17" s="7" t="inlineStr">
        <is>
          <t>2 = Poor</t>
        </is>
      </c>
      <c r="B17" s="6" t="inlineStr">
        <is>
          <t>Misleading instructions, contradicts evidence, or sends generic canned response for a complex dispute.</t>
        </is>
      </c>
    </row>
    <row r="18" ht="20" customHeight="1">
      <c r="A18" s="7" t="inlineStr">
        <is>
          <t>1 = Critical Failure</t>
        </is>
      </c>
      <c r="B18" s="6" t="inlineStr">
        <is>
          <t>Erroneous advice, critical security breach, or failed escalation on security/safety incidents.</t>
        </is>
      </c>
    </row>
    <row r="20">
      <c r="A20" s="4" t="inlineStr">
        <is>
          <t>HOW TO CONDUCT REVIEW</t>
        </is>
      </c>
    </row>
    <row r="21" ht="20" customHeight="1">
      <c r="A21" s="5" t="inlineStr">
        <is>
          <t>Method A: In Excel</t>
        </is>
      </c>
      <c r="B21" s="6" t="inlineStr">
        <is>
          <t>On 'Judge-Human Audit', select 'Accept Assistant Suggestion' in Action column (Q) to approve, or manually pick 1–5 from dropdowns (Cols R-V) to edit.</t>
        </is>
      </c>
    </row>
    <row r="22" ht="20" customHeight="1">
      <c r="A22" s="5" t="inlineStr">
        <is>
          <t>Method B: Via CLI Tool</t>
        </is>
      </c>
      <c r="B22" s="6" t="inlineStr">
        <is>
          <t>Run `python scripts/review_human_audit.py accept &lt;message_id&gt;` or `python scripts/review_human_audit.py edit &lt;message_id&gt; ...`.</t>
        </is>
      </c>
    </row>
    <row r="23" ht="20" customHeight="1">
      <c r="A23" s="5" t="inlineStr">
        <is>
          <t>Verification Command</t>
        </is>
      </c>
      <c r="B23" s="6" t="inlineStr">
        <is>
          <t>Run `python scripts/validate_judge_human_review.py` to audit completion, schema integrity, and rule conformance.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55"/>
  <sheetViews>
    <sheetView showGridLines="1" workbookViewId="0">
      <pane xSplit="5" ySplit="5" topLeftCell="F6"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38" customWidth="1" min="2" max="2"/>
    <col width="42" customWidth="1" min="3" max="3"/>
    <col width="36" customWidth="1" min="4" max="4"/>
    <col width="26" customWidth="1" min="5" max="5"/>
    <col width="14" customWidth="1" min="6" max="6"/>
    <col width="14" customWidth="1" min="7" max="7"/>
    <col width="14" customWidth="1" min="8" max="8"/>
    <col width="14" customWidth="1" min="9" max="9"/>
    <col width="14" customWidth="1" min="10" max="10"/>
    <col width="14" customWidth="1" min="11" max="11"/>
    <col width="13" customWidth="1" min="12" max="12"/>
    <col width="13" customWidth="1" min="13" max="13"/>
    <col width="13" customWidth="1" min="14" max="14"/>
    <col width="13" customWidth="1" min="15" max="15"/>
    <col width="60" customWidth="1" min="16" max="16"/>
    <col width="24" customWidth="1" min="17" max="17"/>
    <col width="16" customWidth="1" min="18" max="18"/>
    <col width="16" customWidth="1" min="19" max="19"/>
    <col width="16" customWidth="1" min="20" max="20"/>
    <col width="15" customWidth="1" min="21" max="21"/>
    <col width="16" customWidth="1" min="22" max="22"/>
    <col width="18" customWidth="1" min="23" max="23"/>
    <col width="25" customWidth="1" min="24" max="24"/>
  </cols>
  <sheetData>
    <row r="1" ht="26" customHeight="1">
      <c r="A1" s="8" t="inlineStr">
        <is>
          <t>STEP 4C: HUMAN AUDIT REVIEW INTERFACE</t>
        </is>
      </c>
      <c r="E1" s="9" t="inlineStr">
        <is>
          <t>NOTICE: Assistant Suggestions are review aids only. Human ratings must be independently reviewed.</t>
        </is>
      </c>
    </row>
    <row r="2" ht="22" customHeight="1">
      <c r="A2" s="3" t="inlineStr">
        <is>
          <t>PROGRESS:</t>
        </is>
      </c>
      <c r="B2" s="5" t="inlineStr">
        <is>
          <t>Total = 50</t>
        </is>
      </c>
      <c r="C2" s="10" t="inlineStr">
        <is>
          <t>Reviewed:</t>
        </is>
      </c>
      <c r="D2" s="10">
        <f>COUNTIFS(R6:R55,"&lt;&gt;",S6:S55,"&lt;&gt;",T6:T55,"&lt;&gt;",U6:U55,"&lt;&gt;",V6:V55,"&lt;&gt;")</f>
        <v/>
      </c>
      <c r="E2" s="11" t="inlineStr">
        <is>
          <t>Pending:</t>
        </is>
      </c>
      <c r="F2" s="11">
        <f>50-D2</f>
        <v/>
      </c>
      <c r="G2" s="3" t="inlineStr">
        <is>
          <t>Progress %:</t>
        </is>
      </c>
      <c r="H2" s="12">
        <f>D2/50</f>
        <v/>
      </c>
      <c r="I2" s="10" t="inlineStr">
        <is>
          <t>Approved:</t>
        </is>
      </c>
      <c r="J2" s="5">
        <f>COUNTIF(W6:W55, "approved")</f>
        <v/>
      </c>
      <c r="K2" s="13" t="inlineStr">
        <is>
          <t>Edited:</t>
        </is>
      </c>
      <c r="L2" s="5">
        <f>COUNTIF(W6:W55, "edited")</f>
        <v/>
      </c>
    </row>
    <row r="3" ht="22" customHeight="1">
      <c r="A3" s="14" t="inlineStr">
        <is>
          <t>HUMAN REVIEW INSTRUCTIONS: To approve, choose 'Accept Assistant Suggestion' in Action (Col Q). To edit, select scores 1–5 from dropdowns (Cols R-V). Human review action will record as 'approved' or 'edited'. No notes are invented.</t>
        </is>
      </c>
    </row>
    <row r="4" ht="24" customHeight="1">
      <c r="A4" s="15" t="inlineStr">
        <is>
          <t>1. CONTEXT &amp; ORIGINAL QUERY (MACHINE TRACES)</t>
        </is>
      </c>
      <c r="F4" s="16" t="inlineStr">
        <is>
          <t>2. SIDE-BY-SIDE COMPARISON: LLM JUDGE vs ASSISTANT SUGGESTION</t>
        </is>
      </c>
      <c r="Q4" s="17" t="inlineStr">
        <is>
          <t>3. HUMAN AUDIT REVIEW &amp; EXPLICIT WORKFLOW (SOVEREIGN HUMAN ACTION)</t>
        </is>
      </c>
    </row>
    <row r="5" ht="30" customHeight="1">
      <c r="A5" s="18" t="inlineStr">
        <is>
          <t>message_id</t>
        </is>
      </c>
      <c r="B5" s="18" t="inlineStr">
        <is>
          <t>original_text</t>
        </is>
      </c>
      <c r="C5" s="18" t="inlineStr">
        <is>
          <t>agent_response</t>
        </is>
      </c>
      <c r="D5" s="18" t="inlineStr">
        <is>
          <t>retrieved_evidence</t>
        </is>
      </c>
      <c r="E5" s="18" t="inlineStr">
        <is>
          <t>audit_difficulty_flag</t>
        </is>
      </c>
      <c r="F5" s="19" t="inlineStr">
        <is>
          <t>llm_correctness</t>
        </is>
      </c>
      <c r="G5" s="20" t="inlineStr">
        <is>
          <t>asst_correctness</t>
        </is>
      </c>
      <c r="H5" s="19" t="inlineStr">
        <is>
          <t>llm_helpfulness</t>
        </is>
      </c>
      <c r="I5" s="20" t="inlineStr">
        <is>
          <t>asst_helpfulness</t>
        </is>
      </c>
      <c r="J5" s="19" t="inlineStr">
        <is>
          <t>llm_groundedness</t>
        </is>
      </c>
      <c r="K5" s="20" t="inlineStr">
        <is>
          <t>asst_groundedness</t>
        </is>
      </c>
      <c r="L5" s="19" t="inlineStr">
        <is>
          <t>llm_policy</t>
        </is>
      </c>
      <c r="M5" s="20" t="inlineStr">
        <is>
          <t>asst_policy</t>
        </is>
      </c>
      <c r="N5" s="19" t="inlineStr">
        <is>
          <t>llm_escalation</t>
        </is>
      </c>
      <c r="O5" s="20" t="inlineStr">
        <is>
          <t>asst_escalation</t>
        </is>
      </c>
      <c r="P5" s="20" t="inlineStr">
        <is>
          <t>assistant_reason</t>
        </is>
      </c>
      <c r="Q5" s="21" t="inlineStr">
        <is>
          <t>review_action_trigger</t>
        </is>
      </c>
      <c r="R5" s="21" t="inlineStr">
        <is>
          <t>human_correctness</t>
        </is>
      </c>
      <c r="S5" s="21" t="inlineStr">
        <is>
          <t>human_helpfulness</t>
        </is>
      </c>
      <c r="T5" s="21" t="inlineStr">
        <is>
          <t>human_groundedness</t>
        </is>
      </c>
      <c r="U5" s="21" t="inlineStr">
        <is>
          <t>human_policy</t>
        </is>
      </c>
      <c r="V5" s="21" t="inlineStr">
        <is>
          <t>human_escalation</t>
        </is>
      </c>
      <c r="W5" s="21" t="inlineStr">
        <is>
          <t>human_review_action</t>
        </is>
      </c>
      <c r="X5" s="21" t="inlineStr">
        <is>
          <t>human_notes</t>
        </is>
      </c>
    </row>
    <row r="6" ht="42" customHeight="1">
      <c r="A6" s="22" t="n">
        <v>25279</v>
      </c>
      <c r="B6" s="23" t="inlineStr">
        <is>
          <t>@AmazonHelp Yes I have contacted Amazon and this problem is going to cost me a lot of money and as of right now there is solution.</t>
        </is>
      </c>
      <c r="C6" s="23" t="inlineStr">
        <is>
          <t>Thanks for reaching out to Amazon Support! For account-specific details, please review your status under 'Your Orders' or 'Your Account'. If you require further assistance, please provide your Order ID and we'll be glad to help. ^AmazonHelp</t>
        </is>
      </c>
      <c r="D6" s="23" t="inlineStr">
        <is>
          <t xml:space="preserve">[0.1525] @AmazonHelp I ordered 3 books approx £8  -&gt; @130717 As the reason for your return is | [0.1578] @AmazonHelp Yes i have, but the problem  -&gt; @158274 Ok, get in touch with us, if we </t>
        </is>
      </c>
      <c r="E6" s="24" t="inlineStr">
        <is>
          <t>Severe divergence (diff 3) | Escalation dispute (J:5 vs A:2) | Groundedness gap (J:5, A:2)</t>
        </is>
      </c>
      <c r="F6" s="25" t="n">
        <v>5</v>
      </c>
      <c r="G6" s="25" t="n">
        <v>2</v>
      </c>
      <c r="H6" s="25" t="n">
        <v>5</v>
      </c>
      <c r="I6" s="25" t="n">
        <v>2</v>
      </c>
      <c r="J6" s="25" t="n">
        <v>5</v>
      </c>
      <c r="K6" s="25" t="n">
        <v>2</v>
      </c>
      <c r="L6" s="25" t="n">
        <v>5</v>
      </c>
      <c r="M6" s="25" t="n">
        <v>5</v>
      </c>
      <c r="N6" s="25" t="n">
        <v>5</v>
      </c>
      <c r="O6" s="25" t="n">
        <v>2</v>
      </c>
      <c r="P6" s="26" t="inlineStr">
        <is>
          <t>Customer reports a costly unresolved problem; generic self-service order check lacks proactive escalation and misses financial urgency.</t>
        </is>
      </c>
      <c r="Q6" s="27" t="inlineStr"/>
      <c r="R6" s="28">
        <f>IF(Q6="Accept Assistant Suggestion", G6, "")</f>
        <v/>
      </c>
      <c r="S6" s="28">
        <f>IF(Q6="Accept Assistant Suggestion", I6, "")</f>
        <v/>
      </c>
      <c r="T6" s="28">
        <f>IF(Q6="Accept Assistant Suggestion", K6, "")</f>
        <v/>
      </c>
      <c r="U6" s="28">
        <f>IF(Q6="Accept Assistant Suggestion", M6, "")</f>
        <v/>
      </c>
      <c r="V6" s="28">
        <f>IF(Q6="Accept Assistant Suggestion", O6, "")</f>
        <v/>
      </c>
      <c r="W6" s="29">
        <f>IF(Q6="Accept Assistant Suggestion", "approved", IF(COUNTA(R6:V6)=5, "edited", ""))</f>
        <v/>
      </c>
      <c r="X6" s="23" t="inlineStr"/>
    </row>
    <row r="7" ht="42" customHeight="1">
      <c r="A7" s="30" t="n">
        <v>65900</v>
      </c>
      <c r="B7" s="31" t="inlineStr">
        <is>
          <t>@119625 plzzz check DM</t>
        </is>
      </c>
      <c r="C7" s="31" t="inlineStr">
        <is>
          <t>I apologize for the inconvenience you are experiencing. To ensure this is handled thoroughly and accurately, I've flagged your inquiry for review by a customer support specialist. Please send us a Direct Message (DM) with any relevant order numbers so an agent can assist you directly. ^AmazonHelp</t>
        </is>
      </c>
      <c r="D7" s="31" t="inlineStr">
        <is>
          <t>[0.4277] @AmazonHelp Okay i deleted kindly check  -&gt; @169758 Please know that we won't be abl | [0.4013] @AmazonHelp Item is in stock also can yo -&gt; @145872 Have you received any updates to</t>
        </is>
      </c>
      <c r="E7" s="24" t="inlineStr">
        <is>
          <t>Escalation dispute (J:4 vs A:5)</t>
        </is>
      </c>
      <c r="F7" s="32" t="n">
        <v>5</v>
      </c>
      <c r="G7" s="32" t="n">
        <v>5</v>
      </c>
      <c r="H7" s="32" t="n">
        <v>5</v>
      </c>
      <c r="I7" s="32" t="n">
        <v>5</v>
      </c>
      <c r="J7" s="32" t="n">
        <v>5</v>
      </c>
      <c r="K7" s="32" t="n">
        <v>4</v>
      </c>
      <c r="L7" s="32" t="n">
        <v>5</v>
      </c>
      <c r="M7" s="32" t="n">
        <v>5</v>
      </c>
      <c r="N7" s="32" t="n">
        <v>4</v>
      </c>
      <c r="O7" s="32" t="n">
        <v>5</v>
      </c>
      <c r="P7" s="33" t="inlineStr">
        <is>
          <t>Customer requests checking DM; agent provides clear, polite specialist escalation with direct message routing and secure handling.</t>
        </is>
      </c>
      <c r="Q7" s="34" t="inlineStr"/>
      <c r="R7" s="28">
        <f>IF(Q7="Accept Assistant Suggestion", G7, "")</f>
        <v/>
      </c>
      <c r="S7" s="28">
        <f>IF(Q7="Accept Assistant Suggestion", I7, "")</f>
        <v/>
      </c>
      <c r="T7" s="28">
        <f>IF(Q7="Accept Assistant Suggestion", K7, "")</f>
        <v/>
      </c>
      <c r="U7" s="28">
        <f>IF(Q7="Accept Assistant Suggestion", M7, "")</f>
        <v/>
      </c>
      <c r="V7" s="28">
        <f>IF(Q7="Accept Assistant Suggestion", O7, "")</f>
        <v/>
      </c>
      <c r="W7" s="35">
        <f>IF(Q7="Accept Assistant Suggestion", "approved", IF(COUNTA(R7:V7)=5, "edited", ""))</f>
        <v/>
      </c>
      <c r="X7" s="31" t="inlineStr"/>
    </row>
    <row r="8" ht="42" customHeight="1">
      <c r="A8" s="22" t="n">
        <v>77408</v>
      </c>
      <c r="B8" s="23" t="inlineStr">
        <is>
          <t>@AmazonHelp Please don't buy any product from amazon , if all thing is smooth you don't feel anytging, but if a problem happened then you see real face of so called customer centric company amazon</t>
        </is>
      </c>
      <c r="C8" s="23" t="inlineStr">
        <is>
          <t>Thanks for reaching out to Amazon Support! For account-specific details, please review your status under 'Your Orders' or 'Your Account'. If you require further assistance, please provide your Order ID and we'll be glad to help. ^AmazonHelp</t>
        </is>
      </c>
      <c r="D8" s="23" t="inlineStr">
        <is>
          <t xml:space="preserve">[0.2936] @AmazonHelp So much for being called a " -&gt; @158499 Sorry for the trouble. Kindly re | [0.188] @AmazonHelp When I try buy any product f -&gt; @175077 That is unusual, Navneet. Could </t>
        </is>
      </c>
      <c r="E8" s="24" t="inlineStr">
        <is>
          <t>Severe divergence (diff 4) | Escalation dispute (J:5 vs A:4) | Groundedness gap (J:5, A:2)</t>
        </is>
      </c>
      <c r="F8" s="25" t="n">
        <v>5</v>
      </c>
      <c r="G8" s="25" t="n">
        <v>1</v>
      </c>
      <c r="H8" s="25" t="n">
        <v>5</v>
      </c>
      <c r="I8" s="25" t="n">
        <v>1</v>
      </c>
      <c r="J8" s="25" t="n">
        <v>5</v>
      </c>
      <c r="K8" s="25" t="n">
        <v>2</v>
      </c>
      <c r="L8" s="25" t="n">
        <v>5</v>
      </c>
      <c r="M8" s="25" t="n">
        <v>5</v>
      </c>
      <c r="N8" s="25" t="n">
        <v>5</v>
      </c>
      <c r="O8" s="25" t="n">
        <v>4</v>
      </c>
      <c r="P8" s="26" t="inlineStr">
        <is>
          <t>Customer expresses severe complaint and brand distrust; canned generic template is tone-deaf, though channel policy is maintained.</t>
        </is>
      </c>
      <c r="Q8" s="27" t="inlineStr"/>
      <c r="R8" s="28">
        <f>IF(Q8="Accept Assistant Suggestion", G8, "")</f>
        <v/>
      </c>
      <c r="S8" s="28">
        <f>IF(Q8="Accept Assistant Suggestion", I8, "")</f>
        <v/>
      </c>
      <c r="T8" s="28">
        <f>IF(Q8="Accept Assistant Suggestion", K8, "")</f>
        <v/>
      </c>
      <c r="U8" s="28">
        <f>IF(Q8="Accept Assistant Suggestion", M8, "")</f>
        <v/>
      </c>
      <c r="V8" s="28">
        <f>IF(Q8="Accept Assistant Suggestion", O8, "")</f>
        <v/>
      </c>
      <c r="W8" s="29">
        <f>IF(Q8="Accept Assistant Suggestion", "approved", IF(COUNTA(R8:V8)=5, "edited", ""))</f>
        <v/>
      </c>
      <c r="X8" s="23" t="inlineStr"/>
    </row>
    <row r="9" ht="42" customHeight="1">
      <c r="A9" s="30" t="n">
        <v>77535</v>
      </c>
      <c r="B9" s="31" t="inlineStr">
        <is>
          <t>@AmazonHelp It must be. I've had the same email address for years and I have tons of old order confirmations in my inbox.</t>
        </is>
      </c>
      <c r="C9" s="31" t="inlineStr">
        <is>
          <t>Thanks for reaching out to Amazon Support! For account-specific details, please review your status under 'Your Orders' or 'Your Account'. If you require further assistance, please provide your Order ID and we'll be glad to help. ^AmazonHelp</t>
        </is>
      </c>
      <c r="D9" s="31" t="inlineStr">
        <is>
          <t>[0.1371] @AmazonHelp I did not but I have been or -&gt; @186350 Some items are shipped in the ma | [0.149] @115821 needs to back to using boxes to  -&gt; @178548 I'm sorry for the frustration! W</t>
        </is>
      </c>
      <c r="E9" s="24" t="inlineStr">
        <is>
          <t>Severe divergence (diff 3) | Escalation dispute (J:5 vs A:3) | Groundedness gap (J:5, A:2)</t>
        </is>
      </c>
      <c r="F9" s="32" t="n">
        <v>5</v>
      </c>
      <c r="G9" s="32" t="n">
        <v>2</v>
      </c>
      <c r="H9" s="32" t="n">
        <v>5</v>
      </c>
      <c r="I9" s="32" t="n">
        <v>2</v>
      </c>
      <c r="J9" s="32" t="n">
        <v>5</v>
      </c>
      <c r="K9" s="32" t="n">
        <v>2</v>
      </c>
      <c r="L9" s="32" t="n">
        <v>5</v>
      </c>
      <c r="M9" s="32" t="n">
        <v>5</v>
      </c>
      <c r="N9" s="32" t="n">
        <v>5</v>
      </c>
      <c r="O9" s="32" t="n">
        <v>3</v>
      </c>
      <c r="P9" s="33" t="inlineStr">
        <is>
          <t>Customer clarifies email and order confirmation history; canned account status reply does not address specific context of email history.</t>
        </is>
      </c>
      <c r="Q9" s="34" t="inlineStr"/>
      <c r="R9" s="28">
        <f>IF(Q9="Accept Assistant Suggestion", G9, "")</f>
        <v/>
      </c>
      <c r="S9" s="28">
        <f>IF(Q9="Accept Assistant Suggestion", I9, "")</f>
        <v/>
      </c>
      <c r="T9" s="28">
        <f>IF(Q9="Accept Assistant Suggestion", K9, "")</f>
        <v/>
      </c>
      <c r="U9" s="28">
        <f>IF(Q9="Accept Assistant Suggestion", M9, "")</f>
        <v/>
      </c>
      <c r="V9" s="28">
        <f>IF(Q9="Accept Assistant Suggestion", O9, "")</f>
        <v/>
      </c>
      <c r="W9" s="35">
        <f>IF(Q9="Accept Assistant Suggestion", "approved", IF(COUNTA(R9:V9)=5, "edited", ""))</f>
        <v/>
      </c>
      <c r="X9" s="31" t="inlineStr"/>
    </row>
    <row r="10" ht="42" customHeight="1">
      <c r="A10" s="22" t="n">
        <v>95437</v>
      </c>
      <c r="B10" s="23" t="inlineStr">
        <is>
          <t>@AmazonHelp - It is really poor service or has your online chat support been hacked ?</t>
        </is>
      </c>
      <c r="C10" s="23" t="inlineStr">
        <is>
          <t>We take account security very seriously. Because this involves a potential security alert or unauthorized activity, I have escalated your report to our Account Security Specialists for immediate investigation. Please do NOT share sensitive information like passwords publicly. Please send us a Direct Message (DM) with your registered account email so we can take immediate protective action on your account. ^AmazonHelp</t>
        </is>
      </c>
      <c r="D10" s="23" t="inlineStr">
        <is>
          <t>[0.2062] @AmazonHelp Will do. What time does your -&gt; @183166 You should be able to get assist | [0.1747] @AmazonHelp So not one item but 2 late d -&gt; @165008 Were you able to reach out to us</t>
        </is>
      </c>
      <c r="E10" s="24" t="inlineStr">
        <is>
          <t>Moderate divergence (diff 2) | Groundedness gap (J:5, A:3)</t>
        </is>
      </c>
      <c r="F10" s="25" t="n">
        <v>5</v>
      </c>
      <c r="G10" s="25" t="n">
        <v>5</v>
      </c>
      <c r="H10" s="25" t="n">
        <v>5</v>
      </c>
      <c r="I10" s="25" t="n">
        <v>5</v>
      </c>
      <c r="J10" s="25" t="n">
        <v>5</v>
      </c>
      <c r="K10" s="25" t="n">
        <v>3</v>
      </c>
      <c r="L10" s="25" t="n">
        <v>5</v>
      </c>
      <c r="M10" s="25" t="n">
        <v>5</v>
      </c>
      <c r="N10" s="25" t="n">
        <v>5</v>
      </c>
      <c r="O10" s="25" t="n">
        <v>5</v>
      </c>
      <c r="P10" s="26" t="inlineStr">
        <is>
          <t>Customer inquires about potential chat support security breach; agent properly initiates P0 escalation to Account Security Specialists.</t>
        </is>
      </c>
      <c r="Q10" s="27" t="inlineStr"/>
      <c r="R10" s="28">
        <f>IF(Q10="Accept Assistant Suggestion", G10, "")</f>
        <v/>
      </c>
      <c r="S10" s="28">
        <f>IF(Q10="Accept Assistant Suggestion", I10, "")</f>
        <v/>
      </c>
      <c r="T10" s="28">
        <f>IF(Q10="Accept Assistant Suggestion", K10, "")</f>
        <v/>
      </c>
      <c r="U10" s="28">
        <f>IF(Q10="Accept Assistant Suggestion", M10, "")</f>
        <v/>
      </c>
      <c r="V10" s="28">
        <f>IF(Q10="Accept Assistant Suggestion", O10, "")</f>
        <v/>
      </c>
      <c r="W10" s="29">
        <f>IF(Q10="Accept Assistant Suggestion", "approved", IF(COUNTA(R10:V10)=5, "edited", ""))</f>
        <v/>
      </c>
      <c r="X10" s="23" t="inlineStr"/>
    </row>
    <row r="11" ht="42" customHeight="1">
      <c r="A11" s="30" t="n">
        <v>179265</v>
      </c>
      <c r="B11" s="31" t="inlineStr">
        <is>
          <t>@AmazonHelp En espérant cette fois avoir une réponse pertinente...</t>
        </is>
      </c>
      <c r="C11" s="31" t="inlineStr">
        <is>
          <t>Thanks for reaching out to Amazon Support! For account-specific details, please review your status under 'Your Orders' or 'Your Account'. If you require further assistance, please provide your Order ID and we'll be glad to help. ^AmazonHelp</t>
        </is>
      </c>
      <c r="D11" s="31" t="inlineStr">
        <is>
          <t xml:space="preserve">[0.2587] @AmazonHelp Nan mais t'as lu le thread o -&gt; @182307 2/2 sera le mieux placé pour vou | [0.2138] @AmazonHelp En Carrer les Camèlies, 14 i -&gt; @149971 Josep, por favor comunicate con </t>
        </is>
      </c>
      <c r="E11" s="24" t="inlineStr">
        <is>
          <t>Severe divergence (diff 4) | Escalation dispute (J:5 vs A:2) | Groundedness gap (J:5, A:2)</t>
        </is>
      </c>
      <c r="F11" s="32" t="n">
        <v>5</v>
      </c>
      <c r="G11" s="32" t="n">
        <v>1</v>
      </c>
      <c r="H11" s="32" t="n">
        <v>5</v>
      </c>
      <c r="I11" s="32" t="n">
        <v>1</v>
      </c>
      <c r="J11" s="32" t="n">
        <v>5</v>
      </c>
      <c r="K11" s="32" t="n">
        <v>2</v>
      </c>
      <c r="L11" s="32" t="n">
        <v>5</v>
      </c>
      <c r="M11" s="32" t="n">
        <v>5</v>
      </c>
      <c r="N11" s="32" t="n">
        <v>5</v>
      </c>
      <c r="O11" s="32" t="n">
        <v>2</v>
      </c>
      <c r="P11" s="33" t="inlineStr">
        <is>
          <t>French query requesting a pertinent answer; agent sends generic English self-service template instead of responding in French or escalating.</t>
        </is>
      </c>
      <c r="Q11" s="34" t="inlineStr"/>
      <c r="R11" s="28">
        <f>IF(Q11="Accept Assistant Suggestion", G11, "")</f>
        <v/>
      </c>
      <c r="S11" s="28">
        <f>IF(Q11="Accept Assistant Suggestion", I11, "")</f>
        <v/>
      </c>
      <c r="T11" s="28">
        <f>IF(Q11="Accept Assistant Suggestion", K11, "")</f>
        <v/>
      </c>
      <c r="U11" s="28">
        <f>IF(Q11="Accept Assistant Suggestion", M11, "")</f>
        <v/>
      </c>
      <c r="V11" s="28">
        <f>IF(Q11="Accept Assistant Suggestion", O11, "")</f>
        <v/>
      </c>
      <c r="W11" s="35">
        <f>IF(Q11="Accept Assistant Suggestion", "approved", IF(COUNTA(R11:V11)=5, "edited", ""))</f>
        <v/>
      </c>
      <c r="X11" s="31" t="inlineStr"/>
    </row>
    <row r="12" ht="42" customHeight="1">
      <c r="A12" s="22" t="n">
        <v>180800</v>
      </c>
      <c r="B12" s="23" t="inlineStr">
        <is>
          <t>@AmazonHelp No worries I've asked mr Jeff @115851 to do that Jeff here is the URL https://t.co/4wKCSmoFTW?amp=1</t>
        </is>
      </c>
      <c r="C12" s="23" t="inlineStr">
        <is>
          <t>Thanks for reaching out to Amazon Support! For account-specific details, please review your status under 'Your Orders' or 'Your Account'. If you require further assistance, please provide your Order ID and we'll be glad to help. ^AmazonHelp</t>
        </is>
      </c>
      <c r="D12" s="23" t="inlineStr">
        <is>
          <t>[0.1761] @AmazonHelp Ahh no worries. Thanks for t -&gt; @129196 No problem! Just remember we are | [0.172] @AmazonHelp I'm on https://t.co/Ozuh0lp6 -&gt; @156593 I see the price for the Kindle e</t>
        </is>
      </c>
      <c r="E12" s="24" t="inlineStr">
        <is>
          <t>Severe divergence (diff 4) | Escalation dispute (J:5 vs A:2) | Groundedness gap (J:5, A:2)</t>
        </is>
      </c>
      <c r="F12" s="25" t="n">
        <v>5</v>
      </c>
      <c r="G12" s="25" t="n">
        <v>1</v>
      </c>
      <c r="H12" s="25" t="n">
        <v>5</v>
      </c>
      <c r="I12" s="25" t="n">
        <v>1</v>
      </c>
      <c r="J12" s="25" t="n">
        <v>5</v>
      </c>
      <c r="K12" s="25" t="n">
        <v>2</v>
      </c>
      <c r="L12" s="25" t="n">
        <v>5</v>
      </c>
      <c r="M12" s="25" t="n">
        <v>5</v>
      </c>
      <c r="N12" s="25" t="n">
        <v>5</v>
      </c>
      <c r="O12" s="25" t="n">
        <v>2</v>
      </c>
      <c r="P12" s="26" t="inlineStr">
        <is>
          <t>Customer shares URL to executive handle; generic order status response is irrelevant to the context of the tweet.</t>
        </is>
      </c>
      <c r="Q12" s="27" t="inlineStr"/>
      <c r="R12" s="28">
        <f>IF(Q12="Accept Assistant Suggestion", G12, "")</f>
        <v/>
      </c>
      <c r="S12" s="28">
        <f>IF(Q12="Accept Assistant Suggestion", I12, "")</f>
        <v/>
      </c>
      <c r="T12" s="28">
        <f>IF(Q12="Accept Assistant Suggestion", K12, "")</f>
        <v/>
      </c>
      <c r="U12" s="28">
        <f>IF(Q12="Accept Assistant Suggestion", M12, "")</f>
        <v/>
      </c>
      <c r="V12" s="28">
        <f>IF(Q12="Accept Assistant Suggestion", O12, "")</f>
        <v/>
      </c>
      <c r="W12" s="29">
        <f>IF(Q12="Accept Assistant Suggestion", "approved", IF(COUNTA(R12:V12)=5, "edited", ""))</f>
        <v/>
      </c>
      <c r="X12" s="23" t="inlineStr"/>
    </row>
    <row r="13" ht="42" customHeight="1">
      <c r="A13" s="30" t="n">
        <v>183483</v>
      </c>
      <c r="B13" s="31" t="inlineStr">
        <is>
          <t>@AmazonHelp ご丁寧にありがとうございます。手続きさせていただきますが、二度と同じようなことがないように対策をお願い致します。</t>
        </is>
      </c>
      <c r="C13" s="31"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D13" s="31" t="inlineStr">
        <is>
          <t>[0.9685] @AmazonHelp ご丁寧にありがとうございます！トライしてみて改善されなけ -&gt; @116312 こちらこそリプライいただきありがとうございます！ご様子を見ていた | [0.9685] @AmazonHelp ご丁寧にありがとうございます！配送はデリバリープロバイダ -&gt; @159150 このたびご不便をおかけしたことについて改めてお詫びいたします。荷</t>
        </is>
      </c>
      <c r="E13" s="36" t="inlineStr">
        <is>
          <t>NORMAL</t>
        </is>
      </c>
      <c r="F13" s="32" t="n">
        <v>5</v>
      </c>
      <c r="G13" s="32" t="n">
        <v>4</v>
      </c>
      <c r="H13" s="32" t="n">
        <v>3</v>
      </c>
      <c r="I13" s="32" t="n">
        <v>3</v>
      </c>
      <c r="J13" s="32" t="n">
        <v>5</v>
      </c>
      <c r="K13" s="32" t="n">
        <v>5</v>
      </c>
      <c r="L13" s="32" t="n">
        <v>5</v>
      </c>
      <c r="M13" s="32" t="n">
        <v>5</v>
      </c>
      <c r="N13" s="32" t="n">
        <v>5</v>
      </c>
      <c r="O13" s="32" t="n">
        <v>5</v>
      </c>
      <c r="P13" s="33" t="inlineStr">
        <is>
          <t>Japanese customer expresses gratitude with request for recurrence prevention; polite Japanese reply appropriately directs to DM.</t>
        </is>
      </c>
      <c r="Q13" s="34" t="inlineStr"/>
      <c r="R13" s="28">
        <f>IF(Q13="Accept Assistant Suggestion", G13, "")</f>
        <v/>
      </c>
      <c r="S13" s="28">
        <f>IF(Q13="Accept Assistant Suggestion", I13, "")</f>
        <v/>
      </c>
      <c r="T13" s="28">
        <f>IF(Q13="Accept Assistant Suggestion", K13, "")</f>
        <v/>
      </c>
      <c r="U13" s="28">
        <f>IF(Q13="Accept Assistant Suggestion", M13, "")</f>
        <v/>
      </c>
      <c r="V13" s="28">
        <f>IF(Q13="Accept Assistant Suggestion", O13, "")</f>
        <v/>
      </c>
      <c r="W13" s="35">
        <f>IF(Q13="Accept Assistant Suggestion", "approved", IF(COUNTA(R13:V13)=5, "edited", ""))</f>
        <v/>
      </c>
      <c r="X13" s="31" t="inlineStr"/>
    </row>
    <row r="14" ht="42" customHeight="1">
      <c r="A14" s="22" t="n">
        <v>234555</v>
      </c>
      <c r="B14" s="23" t="inlineStr">
        <is>
          <t>What a discount, @115850. https://t.co/9rOKTidmrp</t>
        </is>
      </c>
      <c r="C14" s="23" t="inlineStr">
        <is>
          <t>Thanks for reaching out to Amazon Support! For account-specific details, please review your status under 'Your Orders' or 'Your Account'. If you require further assistance, please provide your Order ID and we'll be glad to help. ^AmazonHelp</t>
        </is>
      </c>
      <c r="D14" s="23" t="inlineStr">
        <is>
          <t>[0.5497] @115850 https://t.co/Bf9NmdSszt -&gt; @141442 Please reply to the email you've | [0.5497] @115850 https://t.co/pyVaOi6qAL -&gt; @173682 Here is the winners list of #mic</t>
        </is>
      </c>
      <c r="E14" s="24" t="inlineStr">
        <is>
          <t>Severe divergence (diff 4) | Escalation dispute (J:5 vs A:2) | Groundedness gap (J:5, A:2)</t>
        </is>
      </c>
      <c r="F14" s="25" t="n">
        <v>5</v>
      </c>
      <c r="G14" s="25" t="n">
        <v>1</v>
      </c>
      <c r="H14" s="25" t="n">
        <v>5</v>
      </c>
      <c r="I14" s="25" t="n">
        <v>1</v>
      </c>
      <c r="J14" s="25" t="n">
        <v>5</v>
      </c>
      <c r="K14" s="25" t="n">
        <v>2</v>
      </c>
      <c r="L14" s="25" t="n">
        <v>5</v>
      </c>
      <c r="M14" s="25" t="n">
        <v>5</v>
      </c>
      <c r="N14" s="25" t="n">
        <v>5</v>
      </c>
      <c r="O14" s="25" t="n">
        <v>2</v>
      </c>
      <c r="P14" s="26" t="inlineStr">
        <is>
          <t>Customer shares promotional deal link/screenshot; generic order tracking canned text does not address the promotion context.</t>
        </is>
      </c>
      <c r="Q14" s="27" t="inlineStr"/>
      <c r="R14" s="28">
        <f>IF(Q14="Accept Assistant Suggestion", G14, "")</f>
        <v/>
      </c>
      <c r="S14" s="28">
        <f>IF(Q14="Accept Assistant Suggestion", I14, "")</f>
        <v/>
      </c>
      <c r="T14" s="28">
        <f>IF(Q14="Accept Assistant Suggestion", K14, "")</f>
        <v/>
      </c>
      <c r="U14" s="28">
        <f>IF(Q14="Accept Assistant Suggestion", M14, "")</f>
        <v/>
      </c>
      <c r="V14" s="28">
        <f>IF(Q14="Accept Assistant Suggestion", O14, "")</f>
        <v/>
      </c>
      <c r="W14" s="29">
        <f>IF(Q14="Accept Assistant Suggestion", "approved", IF(COUNTA(R14:V14)=5, "edited", ""))</f>
        <v/>
      </c>
      <c r="X14" s="23" t="inlineStr"/>
    </row>
    <row r="15" ht="42" customHeight="1">
      <c r="A15" s="30" t="n">
        <v>258713</v>
      </c>
      <c r="B15" s="31" t="inlineStr">
        <is>
          <t>@AmazonHelp Dear Amazon, please don't try to understand "my concern"!
Please post my review to help ur innocent customers.
#ScamAtAmazon
#Day48</t>
        </is>
      </c>
      <c r="C15" s="31" t="inlineStr">
        <is>
          <t>Thanks for reaching out to Amazon Support! For account-specific details, please review your status under 'Your Orders' or 'Your Account'. If you require further assistance, please provide your Order ID and we'll be glad to help. ^AmazonHelp</t>
        </is>
      </c>
      <c r="D15" s="31" t="inlineStr">
        <is>
          <t>[0.192] @AmazonHelp Guys pls try to understand m -&gt; @148240 It seems that you have replied t | [0.141] @AmazonHelp i agree but I fail to unders -&gt; @183363 You can use the following link t</t>
        </is>
      </c>
      <c r="E15" s="24" t="inlineStr">
        <is>
          <t>Severe divergence (diff 4) | Escalation dispute (J:5 vs A:2) | Groundedness gap (J:5, A:2)</t>
        </is>
      </c>
      <c r="F15" s="32" t="n">
        <v>5</v>
      </c>
      <c r="G15" s="32" t="n">
        <v>1</v>
      </c>
      <c r="H15" s="32" t="n">
        <v>5</v>
      </c>
      <c r="I15" s="32" t="n">
        <v>1</v>
      </c>
      <c r="J15" s="32" t="n">
        <v>5</v>
      </c>
      <c r="K15" s="32" t="n">
        <v>2</v>
      </c>
      <c r="L15" s="32" t="n">
        <v>5</v>
      </c>
      <c r="M15" s="32" t="n">
        <v>5</v>
      </c>
      <c r="N15" s="32" t="n">
        <v>5</v>
      </c>
      <c r="O15" s="32" t="n">
        <v>2</v>
      </c>
      <c r="P15" s="33" t="inlineStr">
        <is>
          <t>Customer alleging scam and demanding review post; canned self-service order text misses the review posting complaint entirely.</t>
        </is>
      </c>
      <c r="Q15" s="34" t="inlineStr"/>
      <c r="R15" s="28">
        <f>IF(Q15="Accept Assistant Suggestion", G15, "")</f>
        <v/>
      </c>
      <c r="S15" s="28">
        <f>IF(Q15="Accept Assistant Suggestion", I15, "")</f>
        <v/>
      </c>
      <c r="T15" s="28">
        <f>IF(Q15="Accept Assistant Suggestion", K15, "")</f>
        <v/>
      </c>
      <c r="U15" s="28">
        <f>IF(Q15="Accept Assistant Suggestion", M15, "")</f>
        <v/>
      </c>
      <c r="V15" s="28">
        <f>IF(Q15="Accept Assistant Suggestion", O15, "")</f>
        <v/>
      </c>
      <c r="W15" s="35">
        <f>IF(Q15="Accept Assistant Suggestion", "approved", IF(COUNTA(R15:V15)=5, "edited", ""))</f>
        <v/>
      </c>
      <c r="X15" s="31" t="inlineStr"/>
    </row>
    <row r="16" ht="42" customHeight="1">
      <c r="A16" s="22" t="n">
        <v>291347</v>
      </c>
      <c r="B16" s="23" t="inlineStr">
        <is>
          <t>@AmazonHelp If you are unable to check in your back-end &amp;amp; have no access to it, why bother to solve? Let @115850 turn bankrupt. Customer isn't imp 4 u</t>
        </is>
      </c>
      <c r="C16" s="23" t="inlineStr">
        <is>
          <t>Thanks for reaching out to Amazon Support! For account-specific details, please review your status under 'Your Orders' or 'Your Account'. If you require further assistance, please provide your Order ID and we'll be glad to help. ^AmazonHelp</t>
        </is>
      </c>
      <c r="D16" s="23" t="inlineStr">
        <is>
          <t>[0.1711] @AmazonHelp If they are unable to delive -&gt; @140519 Were you able to contact us thro | [0.168] @AmazonHelp I just did it again let's se -&gt; @144476 Thanks for submitting the detail</t>
        </is>
      </c>
      <c r="E16" s="24" t="inlineStr">
        <is>
          <t>Severe divergence (diff 4) | Escalation dispute (J:5 vs A:2) | Groundedness gap (J:5, A:2)</t>
        </is>
      </c>
      <c r="F16" s="25" t="n">
        <v>5</v>
      </c>
      <c r="G16" s="25" t="n">
        <v>1</v>
      </c>
      <c r="H16" s="25" t="n">
        <v>5</v>
      </c>
      <c r="I16" s="25" t="n">
        <v>1</v>
      </c>
      <c r="J16" s="25" t="n">
        <v>5</v>
      </c>
      <c r="K16" s="25" t="n">
        <v>2</v>
      </c>
      <c r="L16" s="25" t="n">
        <v>5</v>
      </c>
      <c r="M16" s="25" t="n">
        <v>5</v>
      </c>
      <c r="N16" s="25" t="n">
        <v>5</v>
      </c>
      <c r="O16" s="25" t="n">
        <v>2</v>
      </c>
      <c r="P16" s="26" t="inlineStr">
        <is>
          <t>Customer frustrated about back-end support access; generic self-service canned response repeats the unhelpful pattern.</t>
        </is>
      </c>
      <c r="Q16" s="27" t="inlineStr"/>
      <c r="R16" s="28">
        <f>IF(Q16="Accept Assistant Suggestion", G16, "")</f>
        <v/>
      </c>
      <c r="S16" s="28">
        <f>IF(Q16="Accept Assistant Suggestion", I16, "")</f>
        <v/>
      </c>
      <c r="T16" s="28">
        <f>IF(Q16="Accept Assistant Suggestion", K16, "")</f>
        <v/>
      </c>
      <c r="U16" s="28">
        <f>IF(Q16="Accept Assistant Suggestion", M16, "")</f>
        <v/>
      </c>
      <c r="V16" s="28">
        <f>IF(Q16="Accept Assistant Suggestion", O16, "")</f>
        <v/>
      </c>
      <c r="W16" s="29">
        <f>IF(Q16="Accept Assistant Suggestion", "approved", IF(COUNTA(R16:V16)=5, "edited", ""))</f>
        <v/>
      </c>
      <c r="X16" s="23" t="inlineStr"/>
    </row>
    <row r="17" ht="42" customHeight="1">
      <c r="A17" s="30" t="n">
        <v>379700</v>
      </c>
      <c r="B17" s="31" t="inlineStr">
        <is>
          <t>@AmazonHelp c'est quoi votre secret pour être aussi bien?
(en vrai y'a aucun problème, c'est juste que j'attend mon colis et il devrait pas tarder :&amp;gt; )</t>
        </is>
      </c>
      <c r="C17" s="31" t="inlineStr">
        <is>
          <t>Bonjour, merci de contacter le support Amazon. Nous sommes désolés pour ce désagrément. Votre demande nécessite une intervention manuelle de notre équipe. Merci de nous transmettre votre numéro de commande par message privé. ^AmazonHelp</t>
        </is>
      </c>
      <c r="D17" s="31" t="inlineStr">
        <is>
          <t>[0.2448] @AmazonHelp C’est : C10054694003 -&gt; @137580 Vous m'en voyez sincèrement navr | [0.1642] @AmazonHelp Est ce que c'est normal même -&gt; @174211 Merci de remplir le formulaire s</t>
        </is>
      </c>
      <c r="E17" s="24" t="inlineStr">
        <is>
          <t>Severe divergence (diff 4) | Escalation dispute (J:5 vs A:1) | Groundedness gap (J:5, A:2)</t>
        </is>
      </c>
      <c r="F17" s="32" t="n">
        <v>5</v>
      </c>
      <c r="G17" s="32" t="n">
        <v>1</v>
      </c>
      <c r="H17" s="32" t="n">
        <v>3</v>
      </c>
      <c r="I17" s="32" t="n">
        <v>1</v>
      </c>
      <c r="J17" s="32" t="n">
        <v>5</v>
      </c>
      <c r="K17" s="32" t="n">
        <v>2</v>
      </c>
      <c r="L17" s="32" t="n">
        <v>5</v>
      </c>
      <c r="M17" s="32" t="n">
        <v>5</v>
      </c>
      <c r="N17" s="32" t="n">
        <v>5</v>
      </c>
      <c r="O17" s="32" t="n">
        <v>1</v>
      </c>
      <c r="P17" s="33" t="inlineStr">
        <is>
          <t>French positive banter ('what is your secret to being so good?'); agent mistakenly escalated with apology and requested order number in French.</t>
        </is>
      </c>
      <c r="Q17" s="34" t="inlineStr"/>
      <c r="R17" s="28">
        <f>IF(Q17="Accept Assistant Suggestion", G17, "")</f>
        <v/>
      </c>
      <c r="S17" s="28">
        <f>IF(Q17="Accept Assistant Suggestion", I17, "")</f>
        <v/>
      </c>
      <c r="T17" s="28">
        <f>IF(Q17="Accept Assistant Suggestion", K17, "")</f>
        <v/>
      </c>
      <c r="U17" s="28">
        <f>IF(Q17="Accept Assistant Suggestion", M17, "")</f>
        <v/>
      </c>
      <c r="V17" s="28">
        <f>IF(Q17="Accept Assistant Suggestion", O17, "")</f>
        <v/>
      </c>
      <c r="W17" s="35">
        <f>IF(Q17="Accept Assistant Suggestion", "approved", IF(COUNTA(R17:V17)=5, "edited", ""))</f>
        <v/>
      </c>
      <c r="X17" s="31" t="inlineStr"/>
    </row>
    <row r="18" ht="42" customHeight="1">
      <c r="A18" s="22" t="n">
        <v>379788</v>
      </c>
      <c r="B18" s="23" t="inlineStr">
        <is>
          <t>@115850 @115821 Recd. the wrong Item, This is not expected from you, 1st pic is what I had ordered, and second pic what I had received.. https://t.co/McMfQ2ZdRb</t>
        </is>
      </c>
      <c r="C18" s="23" t="inlineStr">
        <is>
          <t>Thanks for reaching out to Amazon Support! For account-specific details, please review your status under 'Your Orders' or 'Your Account'. If you require further assistance, please provide your Order ID and we'll be glad to help. ^AmazonHelp</t>
        </is>
      </c>
      <c r="D18" s="23" t="inlineStr">
        <is>
          <t>[0.2658] @115850  Look what I ordered and what I  -&gt; @170102 Sorry about that. Kindly return  | [0.2287] @AmazonHelp Sent the wrong item -&gt; @172342 I'm so sorry for the trouble! Wa</t>
        </is>
      </c>
      <c r="E18" s="24" t="inlineStr">
        <is>
          <t>Severe divergence (diff 4) | Escalation dispute (J:5 vs A:2) | Groundedness gap (J:5, A:2)</t>
        </is>
      </c>
      <c r="F18" s="25" t="n">
        <v>5</v>
      </c>
      <c r="G18" s="25" t="n">
        <v>1</v>
      </c>
      <c r="H18" s="25" t="n">
        <v>5</v>
      </c>
      <c r="I18" s="25" t="n">
        <v>1</v>
      </c>
      <c r="J18" s="25" t="n">
        <v>5</v>
      </c>
      <c r="K18" s="25" t="n">
        <v>2</v>
      </c>
      <c r="L18" s="25" t="n">
        <v>5</v>
      </c>
      <c r="M18" s="25" t="n">
        <v>5</v>
      </c>
      <c r="N18" s="25" t="n">
        <v>5</v>
      </c>
      <c r="O18" s="25" t="n">
        <v>2</v>
      </c>
      <c r="P18" s="26" t="inlineStr">
        <is>
          <t>Customer received wrong item with photo proof; generic self-service text fails to provide replacement or return instructions.</t>
        </is>
      </c>
      <c r="Q18" s="27" t="inlineStr"/>
      <c r="R18" s="28">
        <f>IF(Q18="Accept Assistant Suggestion", G18, "")</f>
        <v/>
      </c>
      <c r="S18" s="28">
        <f>IF(Q18="Accept Assistant Suggestion", I18, "")</f>
        <v/>
      </c>
      <c r="T18" s="28">
        <f>IF(Q18="Accept Assistant Suggestion", K18, "")</f>
        <v/>
      </c>
      <c r="U18" s="28">
        <f>IF(Q18="Accept Assistant Suggestion", M18, "")</f>
        <v/>
      </c>
      <c r="V18" s="28">
        <f>IF(Q18="Accept Assistant Suggestion", O18, "")</f>
        <v/>
      </c>
      <c r="W18" s="29">
        <f>IF(Q18="Accept Assistant Suggestion", "approved", IF(COUNTA(R18:V18)=5, "edited", ""))</f>
        <v/>
      </c>
      <c r="X18" s="23" t="inlineStr"/>
    </row>
    <row r="19" ht="42" customHeight="1">
      <c r="A19" s="30" t="n">
        <v>459028</v>
      </c>
      <c r="B19" s="31" t="inlineStr">
        <is>
          <t>Amazonを名乗るアドレスから、携帯メール(SMS)で有料料金未納につき法的に訴えるという、よくある詐欺メールが来た。ご注意ください。</t>
        </is>
      </c>
      <c r="C19" s="31" t="inlineStr">
        <is>
          <t>お問い合わせいただきありがとうございます。 ご心配をおかけしております。セキュリティ上の懸念があるため、担当部署にて確認いたします。アカウントの詳細（登録メールアドレス等）を安全な方法（DM）でお知らせいただけますでしょうか。パスワード等の機密情報は投稿しないでください。 ^AmazonHelp</t>
        </is>
      </c>
      <c r="D19" s="31" t="inlineStr">
        <is>
          <t>[0.397] アマゾンジャパン（株）
ってところから SMS？きたんやけど
なにこれ？って検索 -&gt; @123662 失礼いたします。ご存知かと存じますが、当サイトからSMSでメール | [0.2723] @AmazonHelp I can already send of erlier -&gt; @172009 Thank you for filling your detai</t>
        </is>
      </c>
      <c r="E19" s="36" t="inlineStr">
        <is>
          <t>NORMAL</t>
        </is>
      </c>
      <c r="F19" s="32" t="n">
        <v>5</v>
      </c>
      <c r="G19" s="32" t="n">
        <v>5</v>
      </c>
      <c r="H19" s="32" t="n">
        <v>5</v>
      </c>
      <c r="I19" s="32" t="n">
        <v>5</v>
      </c>
      <c r="J19" s="32" t="n">
        <v>5</v>
      </c>
      <c r="K19" s="32" t="n">
        <v>4</v>
      </c>
      <c r="L19" s="32" t="n">
        <v>5</v>
      </c>
      <c r="M19" s="32" t="n">
        <v>5</v>
      </c>
      <c r="N19" s="32" t="n">
        <v>5</v>
      </c>
      <c r="O19" s="32" t="n">
        <v>5</v>
      </c>
      <c r="P19" s="33" t="inlineStr">
        <is>
          <t>Customer warning about SMS phishing/unpaid fees scam; agent properly identifies security concern and instructs secure DM handling in Japanese.</t>
        </is>
      </c>
      <c r="Q19" s="34" t="inlineStr"/>
      <c r="R19" s="28">
        <f>IF(Q19="Accept Assistant Suggestion", G19, "")</f>
        <v/>
      </c>
      <c r="S19" s="28">
        <f>IF(Q19="Accept Assistant Suggestion", I19, "")</f>
        <v/>
      </c>
      <c r="T19" s="28">
        <f>IF(Q19="Accept Assistant Suggestion", K19, "")</f>
        <v/>
      </c>
      <c r="U19" s="28">
        <f>IF(Q19="Accept Assistant Suggestion", M19, "")</f>
        <v/>
      </c>
      <c r="V19" s="28">
        <f>IF(Q19="Accept Assistant Suggestion", O19, "")</f>
        <v/>
      </c>
      <c r="W19" s="35">
        <f>IF(Q19="Accept Assistant Suggestion", "approved", IF(COUNTA(R19:V19)=5, "edited", ""))</f>
        <v/>
      </c>
      <c r="X19" s="31" t="inlineStr"/>
    </row>
    <row r="20" ht="42" customHeight="1">
      <c r="A20" s="22" t="n">
        <v>483090</v>
      </c>
      <c r="B20" s="23" t="inlineStr">
        <is>
          <t>@AmazonHelp Le colis n'est pas ouvert. Je suis en droit de refuser une réception de colis si le carton est endommagé non? Si je l'ouvre, il n'y a pas une invalidité de la bande de garantie?
J'aimerais égalmnt accéder à cette option (la photo) afn de prouver que le livreur a signer à ma place https://t.co/eY5NbrfOUu</t>
        </is>
      </c>
      <c r="C20" s="23" t="inlineStr">
        <is>
          <t>Bonjour, merci de contacter le support Amazon. Nous sommes désolés pour ce désagrément. Votre demande nécessite une intervention manuelle de notre équipe. Merci de nous transmettre votre numéro de commande par message privé. ^AmazonHelp</t>
        </is>
      </c>
      <c r="D20" s="23" t="inlineStr">
        <is>
          <t>[0.2828] Le plus marrant c'est que j'ai vu le liv -&gt; @172357 Bonjour Loïck, je suis désolée p | [0.2439] @120533 c’est normal quand on a le prime -&gt; @133901 Bonjour Olivia, je suis sincèrem</t>
        </is>
      </c>
      <c r="E20" s="36" t="inlineStr">
        <is>
          <t>NORMAL</t>
        </is>
      </c>
      <c r="F20" s="25" t="n">
        <v>5</v>
      </c>
      <c r="G20" s="25" t="n">
        <v>4</v>
      </c>
      <c r="H20" s="25" t="n">
        <v>3</v>
      </c>
      <c r="I20" s="25" t="n">
        <v>3</v>
      </c>
      <c r="J20" s="25" t="n">
        <v>5</v>
      </c>
      <c r="K20" s="25" t="n">
        <v>4</v>
      </c>
      <c r="L20" s="25" t="n">
        <v>5</v>
      </c>
      <c r="M20" s="25" t="n">
        <v>5</v>
      </c>
      <c r="N20" s="25" t="n">
        <v>5</v>
      </c>
      <c r="O20" s="25" t="n">
        <v>5</v>
      </c>
      <c r="P20" s="26" t="inlineStr">
        <is>
          <t>French customer asking about damaged carton refusal and signature photo; agent correctly escalates to specialist via DM in French.</t>
        </is>
      </c>
      <c r="Q20" s="27" t="inlineStr"/>
      <c r="R20" s="28">
        <f>IF(Q20="Accept Assistant Suggestion", G20, "")</f>
        <v/>
      </c>
      <c r="S20" s="28">
        <f>IF(Q20="Accept Assistant Suggestion", I20, "")</f>
        <v/>
      </c>
      <c r="T20" s="28">
        <f>IF(Q20="Accept Assistant Suggestion", K20, "")</f>
        <v/>
      </c>
      <c r="U20" s="28">
        <f>IF(Q20="Accept Assistant Suggestion", M20, "")</f>
        <v/>
      </c>
      <c r="V20" s="28">
        <f>IF(Q20="Accept Assistant Suggestion", O20, "")</f>
        <v/>
      </c>
      <c r="W20" s="29">
        <f>IF(Q20="Accept Assistant Suggestion", "approved", IF(COUNTA(R20:V20)=5, "edited", ""))</f>
        <v/>
      </c>
      <c r="X20" s="23" t="inlineStr"/>
    </row>
    <row r="21" ht="42" customHeight="1">
      <c r="A21" s="30" t="n">
        <v>490648</v>
      </c>
      <c r="B21" s="31" t="inlineStr">
        <is>
          <t>@AmazonHelp Depuis la liste des commandes, impossible de contacter le vendeur.
Cependant, tenter de contacter Amazon, sélectionner cette commande, et le produit qui m'intéresse… redirige vers le vendeur avec la bonne commande.
Bref : 1 bogue dans votre SI + filtrage sans notification !</t>
        </is>
      </c>
      <c r="C21" s="31" t="inlineStr">
        <is>
          <t>Bonjour, merci de contacter le support Amazon. Nous sommes désolés pour ce désagrément. Votre demande nécessite une intervention manuelle de notre équipe. Merci de nous transmettre votre numéro de commande par message privé. ^AmazonHelp</t>
        </is>
      </c>
      <c r="D21" s="31" t="inlineStr">
        <is>
          <t>[0.1736] @AmazonHelp Depuis le site, section comm -&gt; @165770 Je vous propose de contacter not | [0.2023] @AmazonHelp Je viens de contacter le ser -&gt; @153394 Merci à vous pour votre patience</t>
        </is>
      </c>
      <c r="E21" s="36" t="inlineStr">
        <is>
          <t>NORMAL</t>
        </is>
      </c>
      <c r="F21" s="32" t="n">
        <v>5</v>
      </c>
      <c r="G21" s="32" t="n">
        <v>4</v>
      </c>
      <c r="H21" s="32" t="n">
        <v>3</v>
      </c>
      <c r="I21" s="32" t="n">
        <v>3</v>
      </c>
      <c r="J21" s="32" t="n">
        <v>5</v>
      </c>
      <c r="K21" s="32" t="n">
        <v>4</v>
      </c>
      <c r="L21" s="32" t="n">
        <v>5</v>
      </c>
      <c r="M21" s="32" t="n">
        <v>5</v>
      </c>
      <c r="N21" s="32" t="n">
        <v>5</v>
      </c>
      <c r="O21" s="32" t="n">
        <v>5</v>
      </c>
      <c r="P21" s="33" t="inlineStr">
        <is>
          <t>French customer reporting technical bug when contacting seller; agent appropriately escalates complex seller issue via DM in French.</t>
        </is>
      </c>
      <c r="Q21" s="34" t="inlineStr"/>
      <c r="R21" s="28">
        <f>IF(Q21="Accept Assistant Suggestion", G21, "")</f>
        <v/>
      </c>
      <c r="S21" s="28">
        <f>IF(Q21="Accept Assistant Suggestion", I21, "")</f>
        <v/>
      </c>
      <c r="T21" s="28">
        <f>IF(Q21="Accept Assistant Suggestion", K21, "")</f>
        <v/>
      </c>
      <c r="U21" s="28">
        <f>IF(Q21="Accept Assistant Suggestion", M21, "")</f>
        <v/>
      </c>
      <c r="V21" s="28">
        <f>IF(Q21="Accept Assistant Suggestion", O21, "")</f>
        <v/>
      </c>
      <c r="W21" s="35">
        <f>IF(Q21="Accept Assistant Suggestion", "approved", IF(COUNTA(R21:V21)=5, "edited", ""))</f>
        <v/>
      </c>
      <c r="X21" s="31" t="inlineStr"/>
    </row>
    <row r="22" ht="42" customHeight="1">
      <c r="A22" s="22" t="n">
        <v>498538</v>
      </c>
      <c r="B22" s="23" t="inlineStr">
        <is>
          <t>@AmazonHelp i just expect it to be here on the date that it initially says it going to arrive? i ordered it last minute which is a fault in my behalf but if your unique selling point is a monthly subscription for next day delivery surely that should be carried out? i won’t need this item on-</t>
        </is>
      </c>
      <c r="C22" s="23" t="inlineStr">
        <is>
          <t>You can view, update, or cancel your Prime subscription settings at any time by visiting 'Your Account' &gt; 'Prime' &gt; 'Manage Membership'. If you choose to end your membership and have not used any Prime benefits during the billing cycle, you may be eligible for a full refund. Let us know if you have questions regarding a specific charge! ^AmazonHelp</t>
        </is>
      </c>
      <c r="D22" s="23" t="inlineStr">
        <is>
          <t>[0.2013] @115821 what happened to next day delive -&gt; @149045 Hi, please have a look here as t | [0.1513] @115830 am no being funny but if I pay f -&gt; @155087 I'm sorry for the long wait, Ed!</t>
        </is>
      </c>
      <c r="E22" s="24" t="inlineStr">
        <is>
          <t>Severe divergence (diff 4) | Escalation dispute (J:5 vs A:1) | Groundedness gap (J:5, A:1)</t>
        </is>
      </c>
      <c r="F22" s="25" t="n">
        <v>5</v>
      </c>
      <c r="G22" s="25" t="n">
        <v>1</v>
      </c>
      <c r="H22" s="25" t="n">
        <v>5</v>
      </c>
      <c r="I22" s="25" t="n">
        <v>1</v>
      </c>
      <c r="J22" s="25" t="n">
        <v>5</v>
      </c>
      <c r="K22" s="25" t="n">
        <v>1</v>
      </c>
      <c r="L22" s="25" t="n">
        <v>5</v>
      </c>
      <c r="M22" s="25" t="n">
        <v>5</v>
      </c>
      <c r="N22" s="25" t="n">
        <v>5</v>
      </c>
      <c r="O22" s="25" t="n">
        <v>1</v>
      </c>
      <c r="P22" s="26" t="inlineStr">
        <is>
          <t>Customer complaining about late next-day Prime delivery; agent erroneously outputs Prime subscription cancellation/refund instructions.</t>
        </is>
      </c>
      <c r="Q22" s="27" t="inlineStr"/>
      <c r="R22" s="28">
        <f>IF(Q22="Accept Assistant Suggestion", G22, "")</f>
        <v/>
      </c>
      <c r="S22" s="28">
        <f>IF(Q22="Accept Assistant Suggestion", I22, "")</f>
        <v/>
      </c>
      <c r="T22" s="28">
        <f>IF(Q22="Accept Assistant Suggestion", K22, "")</f>
        <v/>
      </c>
      <c r="U22" s="28">
        <f>IF(Q22="Accept Assistant Suggestion", M22, "")</f>
        <v/>
      </c>
      <c r="V22" s="28">
        <f>IF(Q22="Accept Assistant Suggestion", O22, "")</f>
        <v/>
      </c>
      <c r="W22" s="29">
        <f>IF(Q22="Accept Assistant Suggestion", "approved", IF(COUNTA(R22:V22)=5, "edited", ""))</f>
        <v/>
      </c>
      <c r="X22" s="23" t="inlineStr"/>
    </row>
    <row r="23" ht="42" customHeight="1">
      <c r="A23" s="30" t="n">
        <v>508166</v>
      </c>
      <c r="B23" s="31" t="inlineStr">
        <is>
          <t>Errr....this was not what I ordered @115830 😺🐱🐈 https://t.co/f4VJmAw2eE</t>
        </is>
      </c>
      <c r="C23" s="31" t="inlineStr">
        <is>
          <t>Thanks for reaching out to Amazon Support! For account-specific details, please review your status under 'Your Orders' or 'Your Account'. If you require further assistance, please provide your Order ID and we'll be glad to help. ^AmazonHelp</t>
        </is>
      </c>
      <c r="D23" s="31" t="inlineStr">
        <is>
          <t>[0.4329] I've always loved @115821 but come on! T -&gt; @178089 Zoinks! That wasn't supposed to  | [0.3551] @115830 ? https://t.co/uvZ1lfP2D6 -&gt; @173984 Oh my! Please reach out to us he</t>
        </is>
      </c>
      <c r="E23" s="24" t="inlineStr">
        <is>
          <t>Severe divergence (diff 4) | Escalation dispute (J:5 vs A:2) | Groundedness gap (J:5, A:2)</t>
        </is>
      </c>
      <c r="F23" s="32" t="n">
        <v>5</v>
      </c>
      <c r="G23" s="32" t="n">
        <v>1</v>
      </c>
      <c r="H23" s="32" t="n">
        <v>5</v>
      </c>
      <c r="I23" s="32" t="n">
        <v>1</v>
      </c>
      <c r="J23" s="32" t="n">
        <v>5</v>
      </c>
      <c r="K23" s="32" t="n">
        <v>2</v>
      </c>
      <c r="L23" s="32" t="n">
        <v>5</v>
      </c>
      <c r="M23" s="32" t="n">
        <v>5</v>
      </c>
      <c r="N23" s="32" t="n">
        <v>5</v>
      </c>
      <c r="O23" s="32" t="n">
        <v>2</v>
      </c>
      <c r="P23" s="33" t="inlineStr">
        <is>
          <t>Customer complaining with photo about wrong item received; generic order tracking reply ignores wrong item replacement.</t>
        </is>
      </c>
      <c r="Q23" s="34" t="inlineStr"/>
      <c r="R23" s="28">
        <f>IF(Q23="Accept Assistant Suggestion", G23, "")</f>
        <v/>
      </c>
      <c r="S23" s="28">
        <f>IF(Q23="Accept Assistant Suggestion", I23, "")</f>
        <v/>
      </c>
      <c r="T23" s="28">
        <f>IF(Q23="Accept Assistant Suggestion", K23, "")</f>
        <v/>
      </c>
      <c r="U23" s="28">
        <f>IF(Q23="Accept Assistant Suggestion", M23, "")</f>
        <v/>
      </c>
      <c r="V23" s="28">
        <f>IF(Q23="Accept Assistant Suggestion", O23, "")</f>
        <v/>
      </c>
      <c r="W23" s="35">
        <f>IF(Q23="Accept Assistant Suggestion", "approved", IF(COUNTA(R23:V23)=5, "edited", ""))</f>
        <v/>
      </c>
      <c r="X23" s="31" t="inlineStr"/>
    </row>
    <row r="24" ht="42" customHeight="1">
      <c r="A24" s="22" t="n">
        <v>532639</v>
      </c>
      <c r="B24" s="23" t="inlineStr">
        <is>
          <t>@AmazonHelp Schade. Da bin ich immer neugierig 😁</t>
        </is>
      </c>
      <c r="C24" s="23" t="inlineStr">
        <is>
          <t>Thanks for reaching out to Amazon Support! For account-specific details, please review your status under 'Your Orders' or 'Your Account'. If you require further assistance, please provide your Order ID and we'll be glad to help. ^AmazonHelp</t>
        </is>
      </c>
      <c r="D24" s="23" t="inlineStr">
        <is>
          <t>[0.3123] @AmazonHelp Schade aber wahrscheinlich n -&gt; @155489 Da uns kein Datum vorliegt, kann | [0.2918] @AmazonHelp Schade! Der Film ist klasse! -&gt; @145705 Super, dann kann ja das kalte Wo</t>
        </is>
      </c>
      <c r="E24" s="24" t="inlineStr">
        <is>
          <t>Severe divergence (diff 4) | Escalation dispute (J:5 vs A:1) | Groundedness gap (J:5, A:1)</t>
        </is>
      </c>
      <c r="F24" s="25" t="n">
        <v>5</v>
      </c>
      <c r="G24" s="25" t="n">
        <v>1</v>
      </c>
      <c r="H24" s="25" t="n">
        <v>5</v>
      </c>
      <c r="I24" s="25" t="n">
        <v>1</v>
      </c>
      <c r="J24" s="25" t="n">
        <v>5</v>
      </c>
      <c r="K24" s="25" t="n">
        <v>1</v>
      </c>
      <c r="L24" s="25" t="n">
        <v>5</v>
      </c>
      <c r="M24" s="25" t="n">
        <v>5</v>
      </c>
      <c r="N24" s="25" t="n">
        <v>5</v>
      </c>
      <c r="O24" s="25" t="n">
        <v>1</v>
      </c>
      <c r="P24" s="26" t="inlineStr">
        <is>
          <t>German conversational banter ('Schade. Da bin ich immer neugierig'); agent sends generic English order tracking response.</t>
        </is>
      </c>
      <c r="Q24" s="27" t="inlineStr"/>
      <c r="R24" s="28">
        <f>IF(Q24="Accept Assistant Suggestion", G24, "")</f>
        <v/>
      </c>
      <c r="S24" s="28">
        <f>IF(Q24="Accept Assistant Suggestion", I24, "")</f>
        <v/>
      </c>
      <c r="T24" s="28">
        <f>IF(Q24="Accept Assistant Suggestion", K24, "")</f>
        <v/>
      </c>
      <c r="U24" s="28">
        <f>IF(Q24="Accept Assistant Suggestion", M24, "")</f>
        <v/>
      </c>
      <c r="V24" s="28">
        <f>IF(Q24="Accept Assistant Suggestion", O24, "")</f>
        <v/>
      </c>
      <c r="W24" s="29">
        <f>IF(Q24="Accept Assistant Suggestion", "approved", IF(COUNTA(R24:V24)=5, "edited", ""))</f>
        <v/>
      </c>
      <c r="X24" s="23" t="inlineStr"/>
    </row>
    <row r="25" ht="42" customHeight="1">
      <c r="A25" s="30" t="n">
        <v>649952</v>
      </c>
      <c r="B25" s="31" t="inlineStr">
        <is>
          <t>Amazonで別日に注文したやつが、一緒の段ボールにはいって送られて来て感動した</t>
        </is>
      </c>
      <c r="C25" s="31"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D25" s="31" t="inlineStr"/>
      <c r="E25" s="24" t="inlineStr">
        <is>
          <t>Severe divergence (diff 4) | Escalation dispute (J:4 vs A:1) | Groundedness gap (J:5, A:1)</t>
        </is>
      </c>
      <c r="F25" s="32" t="n">
        <v>5</v>
      </c>
      <c r="G25" s="32" t="n">
        <v>1</v>
      </c>
      <c r="H25" s="32" t="n">
        <v>3</v>
      </c>
      <c r="I25" s="32" t="n">
        <v>1</v>
      </c>
      <c r="J25" s="32" t="n">
        <v>5</v>
      </c>
      <c r="K25" s="32" t="n">
        <v>1</v>
      </c>
      <c r="L25" s="32" t="n">
        <v>5</v>
      </c>
      <c r="M25" s="32" t="n">
        <v>5</v>
      </c>
      <c r="N25" s="32" t="n">
        <v>4</v>
      </c>
      <c r="O25" s="32" t="n">
        <v>1</v>
      </c>
      <c r="P25" s="33" t="inlineStr">
        <is>
          <t>Japanese customer expressing delight that separate orders arrived in one box; agent inappropriately apologizes for inconvenience and requests DM.</t>
        </is>
      </c>
      <c r="Q25" s="34" t="inlineStr"/>
      <c r="R25" s="28">
        <f>IF(Q25="Accept Assistant Suggestion", G25, "")</f>
        <v/>
      </c>
      <c r="S25" s="28">
        <f>IF(Q25="Accept Assistant Suggestion", I25, "")</f>
        <v/>
      </c>
      <c r="T25" s="28">
        <f>IF(Q25="Accept Assistant Suggestion", K25, "")</f>
        <v/>
      </c>
      <c r="U25" s="28">
        <f>IF(Q25="Accept Assistant Suggestion", M25, "")</f>
        <v/>
      </c>
      <c r="V25" s="28">
        <f>IF(Q25="Accept Assistant Suggestion", O25, "")</f>
        <v/>
      </c>
      <c r="W25" s="35">
        <f>IF(Q25="Accept Assistant Suggestion", "approved", IF(COUNTA(R25:V25)=5, "edited", ""))</f>
        <v/>
      </c>
      <c r="X25" s="31" t="inlineStr"/>
    </row>
    <row r="26" ht="42" customHeight="1">
      <c r="A26" s="22" t="n">
        <v>679078</v>
      </c>
      <c r="B26" s="23" t="inlineStr">
        <is>
          <t>初Amazon。
自動遮光カートリッジが安かった。</t>
        </is>
      </c>
      <c r="C26" s="23"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D26" s="23" t="inlineStr"/>
      <c r="E26" s="24" t="inlineStr">
        <is>
          <t>Severe divergence (diff 4) | Escalation dispute (J:4 vs A:1) | Groundedness gap (J:5, A:1)</t>
        </is>
      </c>
      <c r="F26" s="25" t="n">
        <v>5</v>
      </c>
      <c r="G26" s="25" t="n">
        <v>1</v>
      </c>
      <c r="H26" s="25" t="n">
        <v>3</v>
      </c>
      <c r="I26" s="25" t="n">
        <v>1</v>
      </c>
      <c r="J26" s="25" t="n">
        <v>5</v>
      </c>
      <c r="K26" s="25" t="n">
        <v>1</v>
      </c>
      <c r="L26" s="25" t="n">
        <v>5</v>
      </c>
      <c r="M26" s="25" t="n">
        <v>5</v>
      </c>
      <c r="N26" s="25" t="n">
        <v>4</v>
      </c>
      <c r="O26" s="25" t="n">
        <v>1</v>
      </c>
      <c r="P26" s="26" t="inlineStr">
        <is>
          <t>Japanese customer sharing positive purchase experience (cheap welding cartridge); agent inappropriately apologizes and requests order number.</t>
        </is>
      </c>
      <c r="Q26" s="27" t="inlineStr"/>
      <c r="R26" s="28">
        <f>IF(Q26="Accept Assistant Suggestion", G26, "")</f>
        <v/>
      </c>
      <c r="S26" s="28">
        <f>IF(Q26="Accept Assistant Suggestion", I26, "")</f>
        <v/>
      </c>
      <c r="T26" s="28">
        <f>IF(Q26="Accept Assistant Suggestion", K26, "")</f>
        <v/>
      </c>
      <c r="U26" s="28">
        <f>IF(Q26="Accept Assistant Suggestion", M26, "")</f>
        <v/>
      </c>
      <c r="V26" s="28">
        <f>IF(Q26="Accept Assistant Suggestion", O26, "")</f>
        <v/>
      </c>
      <c r="W26" s="29">
        <f>IF(Q26="Accept Assistant Suggestion", "approved", IF(COUNTA(R26:V26)=5, "edited", ""))</f>
        <v/>
      </c>
      <c r="X26" s="23" t="inlineStr"/>
    </row>
    <row r="27" ht="42" customHeight="1">
      <c r="A27" s="30" t="n">
        <v>701334</v>
      </c>
      <c r="B27" s="31" t="inlineStr">
        <is>
          <t>@115830 my prime now order said it wasn’t able to be delivered but I’ve been at home and had my phone on all this time. No call or attempt to contact.</t>
        </is>
      </c>
      <c r="C27" s="31" t="inlineStr">
        <is>
          <t>You can view, update, or cancel your Prime subscription settings at any time by visiting 'Your Account' &gt; 'Prime' &gt; 'Manage Membership'. If you choose to end your membership and have not used any Prime benefits during the billing cycle, you may be eligible for a full refund. Let us know if you have questions regarding a specific charge! ^AmazonHelp</t>
        </is>
      </c>
      <c r="D27" s="31" t="inlineStr">
        <is>
          <t>[0.1597] Called Amazon cuz my package wasn't "abl -&gt; @180044 Glad to hear we could get it fix | [0.1516] @AmazonHelp  bunch of useless. I was wai -&gt; @174685 Thanks for reaching out! I'm sor</t>
        </is>
      </c>
      <c r="E27" s="24" t="inlineStr">
        <is>
          <t>Severe divergence (diff 4) | Escalation dispute (J:5 vs A:1) | Groundedness gap (J:5, A:1)</t>
        </is>
      </c>
      <c r="F27" s="32" t="n">
        <v>5</v>
      </c>
      <c r="G27" s="32" t="n">
        <v>1</v>
      </c>
      <c r="H27" s="32" t="n">
        <v>5</v>
      </c>
      <c r="I27" s="32" t="n">
        <v>1</v>
      </c>
      <c r="J27" s="32" t="n">
        <v>5</v>
      </c>
      <c r="K27" s="32" t="n">
        <v>1</v>
      </c>
      <c r="L27" s="32" t="n">
        <v>5</v>
      </c>
      <c r="M27" s="32" t="n">
        <v>5</v>
      </c>
      <c r="N27" s="32" t="n">
        <v>5</v>
      </c>
      <c r="O27" s="32" t="n">
        <v>1</v>
      </c>
      <c r="P27" s="33" t="inlineStr">
        <is>
          <t>Customer complaining Prime Now failed delivery while at home; agent irrelevantly provides Prime subscription cancellation advice.</t>
        </is>
      </c>
      <c r="Q27" s="34" t="inlineStr"/>
      <c r="R27" s="28">
        <f>IF(Q27="Accept Assistant Suggestion", G27, "")</f>
        <v/>
      </c>
      <c r="S27" s="28">
        <f>IF(Q27="Accept Assistant Suggestion", I27, "")</f>
        <v/>
      </c>
      <c r="T27" s="28">
        <f>IF(Q27="Accept Assistant Suggestion", K27, "")</f>
        <v/>
      </c>
      <c r="U27" s="28">
        <f>IF(Q27="Accept Assistant Suggestion", M27, "")</f>
        <v/>
      </c>
      <c r="V27" s="28">
        <f>IF(Q27="Accept Assistant Suggestion", O27, "")</f>
        <v/>
      </c>
      <c r="W27" s="35">
        <f>IF(Q27="Accept Assistant Suggestion", "approved", IF(COUNTA(R27:V27)=5, "edited", ""))</f>
        <v/>
      </c>
      <c r="X27" s="31" t="inlineStr"/>
    </row>
    <row r="28" ht="42" customHeight="1">
      <c r="A28" s="22" t="n">
        <v>909507</v>
      </c>
      <c r="B28" s="23" t="inlineStr">
        <is>
          <t>@AmazonHelp kindly check DM Team</t>
        </is>
      </c>
      <c r="C28" s="23" t="inlineStr">
        <is>
          <t>I apologize for the inconvenience you are experiencing. To ensure this is handled thoroughly and accurately, I've flagged your inquiry for review by a customer support specialist. Please send us a Direct Message (DM) with any relevant order numbers so an agent can assist you directly. ^AmazonHelp</t>
        </is>
      </c>
      <c r="D28" s="23" t="inlineStr">
        <is>
          <t>[0.5555] @AmazonHelp Kindly check inbox -&gt; @158239 As you've responded to the email | [0.532] @AmazonHelp Okay i deleted kindly check  -&gt; @169758 Please know that we won't be abl</t>
        </is>
      </c>
      <c r="E28" s="24" t="inlineStr">
        <is>
          <t>Escalation dispute (J:4 vs A:5)</t>
        </is>
      </c>
      <c r="F28" s="25" t="n">
        <v>5</v>
      </c>
      <c r="G28" s="25" t="n">
        <v>5</v>
      </c>
      <c r="H28" s="25" t="n">
        <v>5</v>
      </c>
      <c r="I28" s="25" t="n">
        <v>5</v>
      </c>
      <c r="J28" s="25" t="n">
        <v>5</v>
      </c>
      <c r="K28" s="25" t="n">
        <v>4</v>
      </c>
      <c r="L28" s="25" t="n">
        <v>5</v>
      </c>
      <c r="M28" s="25" t="n">
        <v>5</v>
      </c>
      <c r="N28" s="25" t="n">
        <v>4</v>
      </c>
      <c r="O28" s="25" t="n">
        <v>5</v>
      </c>
      <c r="P28" s="26" t="inlineStr">
        <is>
          <t>Customer asking team to check DM; agent appropriately apologizes, flags for specialist review, and guides DM communication.</t>
        </is>
      </c>
      <c r="Q28" s="27" t="inlineStr"/>
      <c r="R28" s="28">
        <f>IF(Q28="Accept Assistant Suggestion", G28, "")</f>
        <v/>
      </c>
      <c r="S28" s="28">
        <f>IF(Q28="Accept Assistant Suggestion", I28, "")</f>
        <v/>
      </c>
      <c r="T28" s="28">
        <f>IF(Q28="Accept Assistant Suggestion", K28, "")</f>
        <v/>
      </c>
      <c r="U28" s="28">
        <f>IF(Q28="Accept Assistant Suggestion", M28, "")</f>
        <v/>
      </c>
      <c r="V28" s="28">
        <f>IF(Q28="Accept Assistant Suggestion", O28, "")</f>
        <v/>
      </c>
      <c r="W28" s="29">
        <f>IF(Q28="Accept Assistant Suggestion", "approved", IF(COUNTA(R28:V28)=5, "edited", ""))</f>
        <v/>
      </c>
      <c r="X28" s="23" t="inlineStr"/>
    </row>
    <row r="29" ht="42" customHeight="1">
      <c r="A29" s="30" t="n">
        <v>944251</v>
      </c>
      <c r="B29" s="31" t="inlineStr">
        <is>
          <t>@AmazonHelp Done.</t>
        </is>
      </c>
      <c r="C29" s="31" t="inlineStr">
        <is>
          <t>Thanks for reaching out to Amazon Support! For account-specific details, please review your status under 'Your Orders' or 'Your Account'. If you require further assistance, please provide your Order ID and we'll be glad to help. ^AmazonHelp</t>
        </is>
      </c>
      <c r="D29" s="31" t="inlineStr">
        <is>
          <t xml:space="preserve">[0.6705] @AmazonHelp Done already! -&gt; @185185 If you've shared your details, w | [0.5714] @AmazonHelp Done. Thanks. -&gt; @152515 You're welcome! Hope you have a </t>
        </is>
      </c>
      <c r="E29" s="24" t="inlineStr">
        <is>
          <t>Severe divergence (diff 4) | Escalation dispute (J:5 vs A:1) | Groundedness gap (J:5, A:2)</t>
        </is>
      </c>
      <c r="F29" s="32" t="n">
        <v>5</v>
      </c>
      <c r="G29" s="32" t="n">
        <v>1</v>
      </c>
      <c r="H29" s="32" t="n">
        <v>5</v>
      </c>
      <c r="I29" s="32" t="n">
        <v>1</v>
      </c>
      <c r="J29" s="32" t="n">
        <v>5</v>
      </c>
      <c r="K29" s="32" t="n">
        <v>2</v>
      </c>
      <c r="L29" s="32" t="n">
        <v>5</v>
      </c>
      <c r="M29" s="32" t="n">
        <v>5</v>
      </c>
      <c r="N29" s="32" t="n">
        <v>5</v>
      </c>
      <c r="O29" s="32" t="n">
        <v>1</v>
      </c>
      <c r="P29" s="33" t="inlineStr">
        <is>
          <t>Customer says 'Done.'; agent responds with generic self-service order tracking instead of acknowledging completion or continuing thread.</t>
        </is>
      </c>
      <c r="Q29" s="34" t="inlineStr"/>
      <c r="R29" s="28">
        <f>IF(Q29="Accept Assistant Suggestion", G29, "")</f>
        <v/>
      </c>
      <c r="S29" s="28">
        <f>IF(Q29="Accept Assistant Suggestion", I29, "")</f>
        <v/>
      </c>
      <c r="T29" s="28">
        <f>IF(Q29="Accept Assistant Suggestion", K29, "")</f>
        <v/>
      </c>
      <c r="U29" s="28">
        <f>IF(Q29="Accept Assistant Suggestion", M29, "")</f>
        <v/>
      </c>
      <c r="V29" s="28">
        <f>IF(Q29="Accept Assistant Suggestion", O29, "")</f>
        <v/>
      </c>
      <c r="W29" s="35">
        <f>IF(Q29="Accept Assistant Suggestion", "approved", IF(COUNTA(R29:V29)=5, "edited", ""))</f>
        <v/>
      </c>
      <c r="X29" s="31" t="inlineStr"/>
    </row>
    <row r="30" ht="42" customHeight="1">
      <c r="A30" s="22" t="n">
        <v>947686</v>
      </c>
      <c r="B30" s="23" t="inlineStr">
        <is>
          <t>@115850 @AmazonHelp why you send me the ordered product after expected date of delivery most of the time.Also send me expired product</t>
        </is>
      </c>
      <c r="C30" s="23" t="inlineStr">
        <is>
          <t>Thanks for reaching out to Amazon Support! For account-specific details, please review your status under 'Your Orders' or 'Your Account'. If you require further assistance, please provide your Order ID and we'll be glad to help. ^AmazonHelp</t>
        </is>
      </c>
      <c r="D30" s="23" t="inlineStr">
        <is>
          <t>[0.2445] @AmazonHelp send me the link??? -&gt; @478323 Kindly share your details from t | [0.2152] @115850  can you send me an invite to Al -&gt; @185374 We get the excitement. If you ha</t>
        </is>
      </c>
      <c r="E30" s="24" t="inlineStr">
        <is>
          <t>Severe divergence (diff 4) | Escalation dispute (J:5 vs A:2) | Groundedness gap (J:5, A:2)</t>
        </is>
      </c>
      <c r="F30" s="25" t="n">
        <v>5</v>
      </c>
      <c r="G30" s="25" t="n">
        <v>1</v>
      </c>
      <c r="H30" s="25" t="n">
        <v>5</v>
      </c>
      <c r="I30" s="25" t="n">
        <v>1</v>
      </c>
      <c r="J30" s="25" t="n">
        <v>5</v>
      </c>
      <c r="K30" s="25" t="n">
        <v>2</v>
      </c>
      <c r="L30" s="25" t="n">
        <v>5</v>
      </c>
      <c r="M30" s="25" t="n">
        <v>5</v>
      </c>
      <c r="N30" s="25" t="n">
        <v>5</v>
      </c>
      <c r="O30" s="25" t="n">
        <v>2</v>
      </c>
      <c r="P30" s="26" t="inlineStr">
        <is>
          <t>Customer complaining of repeated late delivery and expired product; generic order status reply ignores serious expired product complaint.</t>
        </is>
      </c>
      <c r="Q30" s="27" t="inlineStr"/>
      <c r="R30" s="28">
        <f>IF(Q30="Accept Assistant Suggestion", G30, "")</f>
        <v/>
      </c>
      <c r="S30" s="28">
        <f>IF(Q30="Accept Assistant Suggestion", I30, "")</f>
        <v/>
      </c>
      <c r="T30" s="28">
        <f>IF(Q30="Accept Assistant Suggestion", K30, "")</f>
        <v/>
      </c>
      <c r="U30" s="28">
        <f>IF(Q30="Accept Assistant Suggestion", M30, "")</f>
        <v/>
      </c>
      <c r="V30" s="28">
        <f>IF(Q30="Accept Assistant Suggestion", O30, "")</f>
        <v/>
      </c>
      <c r="W30" s="29">
        <f>IF(Q30="Accept Assistant Suggestion", "approved", IF(COUNTA(R30:V30)=5, "edited", ""))</f>
        <v/>
      </c>
      <c r="X30" s="23" t="inlineStr"/>
    </row>
    <row r="31" ht="42" customHeight="1">
      <c r="A31" s="30" t="n">
        <v>984200</v>
      </c>
      <c r="B31" s="31" t="inlineStr">
        <is>
          <t>@AmazonHelp This is not an issue with the book (although Amazon could look into splitting this into 2 pages?) but with Kindle for PC.</t>
        </is>
      </c>
      <c r="C31" s="31" t="inlineStr">
        <is>
          <t>For issues with digital content or Amazon devices (such as Fire TV, Kindle, or Echo), we recommend restarting the device and checking your network connection. If using an app, ensuring the app is updated to the latest version and clearing its cache often resolves playback errors. If the issue persists, please let us know which device model you are using! ^AmazonHelp</t>
        </is>
      </c>
      <c r="D31" s="31" t="inlineStr">
        <is>
          <t>[0.1698] @AmazonHelp 再設定が完了したすぐ後に、そのパスワードを打ち込んでも「 -&gt; @169217 リプライありがとうございます。お手数ですがカスタマーサービス（0 | [0.1645] @115850 look into this matter -&gt; @158388 We'd like to know what went wron</t>
        </is>
      </c>
      <c r="E31" s="24" t="inlineStr">
        <is>
          <t>Moderate divergence (diff 2) | Escalation dispute (J:5 vs A:3) | Groundedness gap (J:5, A:3)</t>
        </is>
      </c>
      <c r="F31" s="32" t="n">
        <v>5</v>
      </c>
      <c r="G31" s="32" t="n">
        <v>5</v>
      </c>
      <c r="H31" s="32" t="n">
        <v>3</v>
      </c>
      <c r="I31" s="32" t="n">
        <v>4</v>
      </c>
      <c r="J31" s="32" t="n">
        <v>5</v>
      </c>
      <c r="K31" s="32" t="n">
        <v>3</v>
      </c>
      <c r="L31" s="32" t="n">
        <v>5</v>
      </c>
      <c r="M31" s="32" t="n">
        <v>5</v>
      </c>
      <c r="N31" s="32" t="n">
        <v>5</v>
      </c>
      <c r="O31" s="32" t="n">
        <v>3</v>
      </c>
      <c r="P31" s="33" t="inlineStr">
        <is>
          <t>Customer reporting Kindle for PC formatting issue; agent provides relevant digital/Kindle troubleshooting steps.</t>
        </is>
      </c>
      <c r="Q31" s="34" t="inlineStr"/>
      <c r="R31" s="28">
        <f>IF(Q31="Accept Assistant Suggestion", G31, "")</f>
        <v/>
      </c>
      <c r="S31" s="28">
        <f>IF(Q31="Accept Assistant Suggestion", I31, "")</f>
        <v/>
      </c>
      <c r="T31" s="28">
        <f>IF(Q31="Accept Assistant Suggestion", K31, "")</f>
        <v/>
      </c>
      <c r="U31" s="28">
        <f>IF(Q31="Accept Assistant Suggestion", M31, "")</f>
        <v/>
      </c>
      <c r="V31" s="28">
        <f>IF(Q31="Accept Assistant Suggestion", O31, "")</f>
        <v/>
      </c>
      <c r="W31" s="35">
        <f>IF(Q31="Accept Assistant Suggestion", "approved", IF(COUNTA(R31:V31)=5, "edited", ""))</f>
        <v/>
      </c>
      <c r="X31" s="31" t="inlineStr"/>
    </row>
    <row r="32" ht="42" customHeight="1">
      <c r="A32" s="22" t="n">
        <v>1113514</v>
      </c>
      <c r="B32" s="23" t="inlineStr">
        <is>
          <t>#amazongreatindianfestival #amazonindia #amazonhelp https://t.co/ygj24zMsKa</t>
        </is>
      </c>
      <c r="C32" s="23" t="inlineStr">
        <is>
          <t>Thanks for reaching out to Amazon Support! For account-specific details, please review your status under 'Your Orders' or 'Your Account'. If you require further assistance, please provide your Order ID and we'll be glad to help. ^AmazonHelp</t>
        </is>
      </c>
      <c r="D32" s="23" t="inlineStr">
        <is>
          <t>[0.581] @AmazonHelp  https://t.co/HWXuUYZUsi -&gt; @120930 We'd like to take another look i | [0.581] @AmazonHelp  https://t.co/8imf6xAOvr -&gt; @167295 Thanks for the update. We'd like</t>
        </is>
      </c>
      <c r="E32" s="24" t="inlineStr">
        <is>
          <t>Severe divergence (diff 4) | Escalation dispute (J:5 vs A:1) | Groundedness gap (J:5, A:1)</t>
        </is>
      </c>
      <c r="F32" s="25" t="n">
        <v>5</v>
      </c>
      <c r="G32" s="25" t="n">
        <v>1</v>
      </c>
      <c r="H32" s="25" t="n">
        <v>5</v>
      </c>
      <c r="I32" s="25" t="n">
        <v>1</v>
      </c>
      <c r="J32" s="25" t="n">
        <v>5</v>
      </c>
      <c r="K32" s="25" t="n">
        <v>1</v>
      </c>
      <c r="L32" s="25" t="n">
        <v>5</v>
      </c>
      <c r="M32" s="25" t="n">
        <v>5</v>
      </c>
      <c r="N32" s="25" t="n">
        <v>5</v>
      </c>
      <c r="O32" s="25" t="n">
        <v>1</v>
      </c>
      <c r="P32" s="26" t="inlineStr">
        <is>
          <t>Customer posting promotional image/hashtag; agent responds with generic order status advice.</t>
        </is>
      </c>
      <c r="Q32" s="27" t="inlineStr"/>
      <c r="R32" s="28">
        <f>IF(Q32="Accept Assistant Suggestion", G32, "")</f>
        <v/>
      </c>
      <c r="S32" s="28">
        <f>IF(Q32="Accept Assistant Suggestion", I32, "")</f>
        <v/>
      </c>
      <c r="T32" s="28">
        <f>IF(Q32="Accept Assistant Suggestion", K32, "")</f>
        <v/>
      </c>
      <c r="U32" s="28">
        <f>IF(Q32="Accept Assistant Suggestion", M32, "")</f>
        <v/>
      </c>
      <c r="V32" s="28">
        <f>IF(Q32="Accept Assistant Suggestion", O32, "")</f>
        <v/>
      </c>
      <c r="W32" s="29">
        <f>IF(Q32="Accept Assistant Suggestion", "approved", IF(COUNTA(R32:V32)=5, "edited", ""))</f>
        <v/>
      </c>
      <c r="X32" s="23" t="inlineStr"/>
    </row>
    <row r="33" ht="42" customHeight="1">
      <c r="A33" s="30" t="n">
        <v>1300626</v>
      </c>
      <c r="B33" s="31" t="inlineStr">
        <is>
          <t>You have some neat ideas on what 'one day shipping' is, @AmazonHelp Can you please send me a link to your online chat since I can't find it. https://t.co/25rnQVQssi</t>
        </is>
      </c>
      <c r="C33" s="31" t="inlineStr">
        <is>
          <t>Thanks for reaching out to Amazon Support! For account-specific details, please review your status under 'Your Orders' or 'Your Account'. If you require further assistance, please provide your Order ID and we'll be glad to help. ^AmazonHelp</t>
        </is>
      </c>
      <c r="D33" s="31" t="inlineStr">
        <is>
          <t xml:space="preserve">[0.2969] @AmazonHelp Also. Send me a link to canc -&gt; @170027 Hello, to cancel your Prime subs | [0.3128] @AmazonHelp Yes please send me a link to -&gt; @137125 I get your concern. You can use </t>
        </is>
      </c>
      <c r="E33" s="24" t="inlineStr">
        <is>
          <t>Severe divergence (diff 4) | Escalation dispute (J:5 vs A:2) | Groundedness gap (J:5, A:2)</t>
        </is>
      </c>
      <c r="F33" s="32" t="n">
        <v>5</v>
      </c>
      <c r="G33" s="32" t="n">
        <v>1</v>
      </c>
      <c r="H33" s="32" t="n">
        <v>5</v>
      </c>
      <c r="I33" s="32" t="n">
        <v>1</v>
      </c>
      <c r="J33" s="32" t="n">
        <v>5</v>
      </c>
      <c r="K33" s="32" t="n">
        <v>2</v>
      </c>
      <c r="L33" s="32" t="n">
        <v>5</v>
      </c>
      <c r="M33" s="32" t="n">
        <v>5</v>
      </c>
      <c r="N33" s="32" t="n">
        <v>5</v>
      </c>
      <c r="O33" s="32" t="n">
        <v>2</v>
      </c>
      <c r="P33" s="33" t="inlineStr">
        <is>
          <t>Customer asking for link to online chat regarding 1-day shipping; generic order status response fails to provide chat link or direct help.</t>
        </is>
      </c>
      <c r="Q33" s="34" t="inlineStr"/>
      <c r="R33" s="28">
        <f>IF(Q33="Accept Assistant Suggestion", G33, "")</f>
        <v/>
      </c>
      <c r="S33" s="28">
        <f>IF(Q33="Accept Assistant Suggestion", I33, "")</f>
        <v/>
      </c>
      <c r="T33" s="28">
        <f>IF(Q33="Accept Assistant Suggestion", K33, "")</f>
        <v/>
      </c>
      <c r="U33" s="28">
        <f>IF(Q33="Accept Assistant Suggestion", M33, "")</f>
        <v/>
      </c>
      <c r="V33" s="28">
        <f>IF(Q33="Accept Assistant Suggestion", O33, "")</f>
        <v/>
      </c>
      <c r="W33" s="35">
        <f>IF(Q33="Accept Assistant Suggestion", "approved", IF(COUNTA(R33:V33)=5, "edited", ""))</f>
        <v/>
      </c>
      <c r="X33" s="31" t="inlineStr"/>
    </row>
    <row r="34" ht="42" customHeight="1">
      <c r="A34" s="22" t="n">
        <v>1313039</v>
      </c>
      <c r="B34" s="23" t="inlineStr">
        <is>
          <t>Pray @115830 leave my parcel with a neighbour I need my new coffee machine!!!!☕️☕️☕️</t>
        </is>
      </c>
      <c r="C34" s="23" t="inlineStr">
        <is>
          <t>Thanks for reaching out to Amazon Support! For account-specific details, please review your status under 'Your Orders' or 'Your Account'. If you require further assistance, please provide your Order ID and we'll be glad to help. ^AmazonHelp</t>
        </is>
      </c>
      <c r="D34" s="23" t="inlineStr">
        <is>
          <t xml:space="preserve">[0.2012] Nice one @115830 delivered my parcel to  -&gt; @153812 I'm so sorry your order was not  | [0.1618] @115850 amazon u r ignoring me I'm askin -&gt; @745935 This being a social platform we </t>
        </is>
      </c>
      <c r="E34" s="24" t="inlineStr">
        <is>
          <t>Severe divergence (diff 4) | Escalation dispute (J:5 vs A:1) | Groundedness gap (J:5, A:2)</t>
        </is>
      </c>
      <c r="F34" s="25" t="n">
        <v>5</v>
      </c>
      <c r="G34" s="25" t="n">
        <v>1</v>
      </c>
      <c r="H34" s="25" t="n">
        <v>5</v>
      </c>
      <c r="I34" s="25" t="n">
        <v>1</v>
      </c>
      <c r="J34" s="25" t="n">
        <v>5</v>
      </c>
      <c r="K34" s="25" t="n">
        <v>2</v>
      </c>
      <c r="L34" s="25" t="n">
        <v>5</v>
      </c>
      <c r="M34" s="25" t="n">
        <v>5</v>
      </c>
      <c r="N34" s="25" t="n">
        <v>5</v>
      </c>
      <c r="O34" s="25" t="n">
        <v>1</v>
      </c>
      <c r="P34" s="26" t="inlineStr">
        <is>
          <t>Customer praying parcel is left with neighbor for coffee machine; generic order status response misses the delivery instruction context.</t>
        </is>
      </c>
      <c r="Q34" s="27" t="inlineStr"/>
      <c r="R34" s="28">
        <f>IF(Q34="Accept Assistant Suggestion", G34, "")</f>
        <v/>
      </c>
      <c r="S34" s="28">
        <f>IF(Q34="Accept Assistant Suggestion", I34, "")</f>
        <v/>
      </c>
      <c r="T34" s="28">
        <f>IF(Q34="Accept Assistant Suggestion", K34, "")</f>
        <v/>
      </c>
      <c r="U34" s="28">
        <f>IF(Q34="Accept Assistant Suggestion", M34, "")</f>
        <v/>
      </c>
      <c r="V34" s="28">
        <f>IF(Q34="Accept Assistant Suggestion", O34, "")</f>
        <v/>
      </c>
      <c r="W34" s="29">
        <f>IF(Q34="Accept Assistant Suggestion", "approved", IF(COUNTA(R34:V34)=5, "edited", ""))</f>
        <v/>
      </c>
      <c r="X34" s="23" t="inlineStr"/>
    </row>
    <row r="35" ht="42" customHeight="1">
      <c r="A35" s="30" t="n">
        <v>1362458</v>
      </c>
      <c r="B35" s="31" t="inlineStr">
        <is>
          <t>@AmazonHelp Hi JP, it was AMZL US. Also this was the second time this has happened with our apartment within the last couple of weeks.</t>
        </is>
      </c>
      <c r="C35" s="31" t="inlineStr">
        <is>
          <t>Thanks for reaching out to Amazon Support! For account-specific details, please review your status under 'Your Orders' or 'Your Account'. If you require further assistance, please provide your Order ID and we'll be glad to help. ^AmazonHelp</t>
        </is>
      </c>
      <c r="D35" s="31" t="inlineStr">
        <is>
          <t xml:space="preserve">[0.2844] @AmazonHelp It was "AMZL US" -&gt; @131675 We would like to look into this  | [0.2265] @115830 could someone explain why I pay  -&gt; @134827 Hi Sam, I am sorry to hear that </t>
        </is>
      </c>
      <c r="E35" s="24" t="inlineStr">
        <is>
          <t>Severe divergence (diff 4) | Escalation dispute (J:5 vs A:2) | Groundedness gap (J:5, A:2)</t>
        </is>
      </c>
      <c r="F35" s="32" t="n">
        <v>5</v>
      </c>
      <c r="G35" s="32" t="n">
        <v>1</v>
      </c>
      <c r="H35" s="32" t="n">
        <v>5</v>
      </c>
      <c r="I35" s="32" t="n">
        <v>1</v>
      </c>
      <c r="J35" s="32" t="n">
        <v>5</v>
      </c>
      <c r="K35" s="32" t="n">
        <v>2</v>
      </c>
      <c r="L35" s="32" t="n">
        <v>5</v>
      </c>
      <c r="M35" s="32" t="n">
        <v>5</v>
      </c>
      <c r="N35" s="32" t="n">
        <v>5</v>
      </c>
      <c r="O35" s="32" t="n">
        <v>2</v>
      </c>
      <c r="P35" s="33" t="inlineStr">
        <is>
          <t>Customer answering carrier clarification (AMZL US recurring issue); generic order status template ignores the carrier logistics feedback.</t>
        </is>
      </c>
      <c r="Q35" s="34" t="inlineStr"/>
      <c r="R35" s="28">
        <f>IF(Q35="Accept Assistant Suggestion", G35, "")</f>
        <v/>
      </c>
      <c r="S35" s="28">
        <f>IF(Q35="Accept Assistant Suggestion", I35, "")</f>
        <v/>
      </c>
      <c r="T35" s="28">
        <f>IF(Q35="Accept Assistant Suggestion", K35, "")</f>
        <v/>
      </c>
      <c r="U35" s="28">
        <f>IF(Q35="Accept Assistant Suggestion", M35, "")</f>
        <v/>
      </c>
      <c r="V35" s="28">
        <f>IF(Q35="Accept Assistant Suggestion", O35, "")</f>
        <v/>
      </c>
      <c r="W35" s="35">
        <f>IF(Q35="Accept Assistant Suggestion", "approved", IF(COUNTA(R35:V35)=5, "edited", ""))</f>
        <v/>
      </c>
      <c r="X35" s="31" t="inlineStr"/>
    </row>
    <row r="36" ht="42" customHeight="1">
      <c r="A36" s="22" t="n">
        <v>1382396</v>
      </c>
      <c r="B36" s="23" t="inlineStr">
        <is>
          <t>After ringing the @115830 Customer Service team in regards to my order, I am told to allow a further week for delivery as 'ordering a replacement would take longer'. If you did truly care about your customers, you could have a parcel delivered tomorrow if you really wanted.</t>
        </is>
      </c>
      <c r="C36" s="23" t="inlineStr">
        <is>
          <t>To return or exchange an item, please visit our Online Returns Center by going to 'Your Orders' &gt; 'Return or replace items'. You can choose your preferred return method and print a prepaid return label. Once the item is received at our fulfilment centre, refunds are typically processed within 3 to 5 business days. Let us know if you need help with a specific order ID! ^AmazonHelp</t>
        </is>
      </c>
      <c r="D36" s="23" t="inlineStr">
        <is>
          <t>[0.2366] @AmazonHelp Do you really care about you -&gt; @127178 We regret the inconvenience. The | [0.1466] @AmazonHelp What is this in regards to I -&gt; @172356 Apologies for the experience. I'</t>
        </is>
      </c>
      <c r="E36" s="24" t="inlineStr">
        <is>
          <t>Severe divergence (diff 4) | Escalation dispute (J:5 vs A:1) | Groundedness gap (J:5, A:1)</t>
        </is>
      </c>
      <c r="F36" s="25" t="n">
        <v>5</v>
      </c>
      <c r="G36" s="25" t="n">
        <v>1</v>
      </c>
      <c r="H36" s="25" t="n">
        <v>5</v>
      </c>
      <c r="I36" s="25" t="n">
        <v>1</v>
      </c>
      <c r="J36" s="25" t="n">
        <v>5</v>
      </c>
      <c r="K36" s="25" t="n">
        <v>1</v>
      </c>
      <c r="L36" s="25" t="n">
        <v>5</v>
      </c>
      <c r="M36" s="25" t="n">
        <v>5</v>
      </c>
      <c r="N36" s="25" t="n">
        <v>5</v>
      </c>
      <c r="O36" s="25" t="n">
        <v>1</v>
      </c>
      <c r="P36" s="26" t="inlineStr">
        <is>
          <t>Customer venting about phone CS delay on delivery replacement; agent erroneously gives Online Returns Center refund instructions instead of addressing replacement delay.</t>
        </is>
      </c>
      <c r="Q36" s="27" t="inlineStr"/>
      <c r="R36" s="28">
        <f>IF(Q36="Accept Assistant Suggestion", G36, "")</f>
        <v/>
      </c>
      <c r="S36" s="28">
        <f>IF(Q36="Accept Assistant Suggestion", I36, "")</f>
        <v/>
      </c>
      <c r="T36" s="28">
        <f>IF(Q36="Accept Assistant Suggestion", K36, "")</f>
        <v/>
      </c>
      <c r="U36" s="28">
        <f>IF(Q36="Accept Assistant Suggestion", M36, "")</f>
        <v/>
      </c>
      <c r="V36" s="28">
        <f>IF(Q36="Accept Assistant Suggestion", O36, "")</f>
        <v/>
      </c>
      <c r="W36" s="29">
        <f>IF(Q36="Accept Assistant Suggestion", "approved", IF(COUNTA(R36:V36)=5, "edited", ""))</f>
        <v/>
      </c>
      <c r="X36" s="23" t="inlineStr"/>
    </row>
    <row r="37" ht="42" customHeight="1">
      <c r="A37" s="30" t="n">
        <v>1572905</v>
      </c>
      <c r="B37" s="31" t="inlineStr">
        <is>
          <t>@115850 It’s all a scam as price reverts to original on check out guys. Check delivery chargers can be double the price of product.</t>
        </is>
      </c>
      <c r="C37" s="31" t="inlineStr">
        <is>
          <t>Thanks for reaching out to Amazon Support! For account-specific details, please review your status under 'Your Orders' or 'Your Account'. If you require further assistance, please provide your Order ID and we'll be glad to help. ^AmazonHelp</t>
        </is>
      </c>
      <c r="D37" s="31" t="inlineStr">
        <is>
          <t>[0.248] @AmazonHelp Fix this the price of laptop -&gt; @158430 Thanks for bringing this to our  | [0.2392] @AmazonHelp Team as u can see the produc -&gt; @169665 Thank you for elaborating your c</t>
        </is>
      </c>
      <c r="E37" s="24" t="inlineStr">
        <is>
          <t>Severe divergence (diff 4) | Escalation dispute (J:5 vs A:2) | Groundedness gap (J:5, A:2)</t>
        </is>
      </c>
      <c r="F37" s="32" t="n">
        <v>5</v>
      </c>
      <c r="G37" s="32" t="n">
        <v>1</v>
      </c>
      <c r="H37" s="32" t="n">
        <v>5</v>
      </c>
      <c r="I37" s="32" t="n">
        <v>1</v>
      </c>
      <c r="J37" s="32" t="n">
        <v>5</v>
      </c>
      <c r="K37" s="32" t="n">
        <v>2</v>
      </c>
      <c r="L37" s="32" t="n">
        <v>5</v>
      </c>
      <c r="M37" s="32" t="n">
        <v>5</v>
      </c>
      <c r="N37" s="32" t="n">
        <v>5</v>
      </c>
      <c r="O37" s="32" t="n">
        <v>2</v>
      </c>
      <c r="P37" s="33" t="inlineStr">
        <is>
          <t>Customer alleging scam regarding price change and delivery charges at checkout; generic self-service reply ignores billing/checkout complaint.</t>
        </is>
      </c>
      <c r="Q37" s="34" t="inlineStr"/>
      <c r="R37" s="28">
        <f>IF(Q37="Accept Assistant Suggestion", G37, "")</f>
        <v/>
      </c>
      <c r="S37" s="28">
        <f>IF(Q37="Accept Assistant Suggestion", I37, "")</f>
        <v/>
      </c>
      <c r="T37" s="28">
        <f>IF(Q37="Accept Assistant Suggestion", K37, "")</f>
        <v/>
      </c>
      <c r="U37" s="28">
        <f>IF(Q37="Accept Assistant Suggestion", M37, "")</f>
        <v/>
      </c>
      <c r="V37" s="28">
        <f>IF(Q37="Accept Assistant Suggestion", O37, "")</f>
        <v/>
      </c>
      <c r="W37" s="35">
        <f>IF(Q37="Accept Assistant Suggestion", "approved", IF(COUNTA(R37:V37)=5, "edited", ""))</f>
        <v/>
      </c>
      <c r="X37" s="31" t="inlineStr"/>
    </row>
    <row r="38" ht="42" customHeight="1">
      <c r="A38" s="22" t="n">
        <v>1691622</v>
      </c>
      <c r="B38" s="23" t="inlineStr">
        <is>
          <t>@207103 @AmazonHelp all are fake. above all people's r who never won. No winners tweets here so where are they? fake ids mentioned in winners list. Fake 4 sure.</t>
        </is>
      </c>
      <c r="C38" s="23" t="inlineStr">
        <is>
          <t>Thanks for reaching out to Amazon Support! For account-specific details, please review your status under 'Your Orders' or 'Your Account'. If you require further assistance, please provide your Order ID and we'll be glad to help. ^AmazonHelp</t>
        </is>
      </c>
      <c r="D38" s="23" t="inlineStr">
        <is>
          <t>[0.2949] @AmazonHelp where the winners list? -&gt; @132732 The contest results will be anno | [0.2572] @115850 @115851 @11999 Who all are the w -&gt; @184859 Hey, winners will be announced b</t>
        </is>
      </c>
      <c r="E38" s="24" t="inlineStr">
        <is>
          <t>Severe divergence (diff 4) | Escalation dispute (J:5 vs A:2) | Groundedness gap (J:5, A:1)</t>
        </is>
      </c>
      <c r="F38" s="25" t="n">
        <v>5</v>
      </c>
      <c r="G38" s="25" t="n">
        <v>1</v>
      </c>
      <c r="H38" s="25" t="n">
        <v>5</v>
      </c>
      <c r="I38" s="25" t="n">
        <v>1</v>
      </c>
      <c r="J38" s="25" t="n">
        <v>5</v>
      </c>
      <c r="K38" s="25" t="n">
        <v>1</v>
      </c>
      <c r="L38" s="25" t="n">
        <v>5</v>
      </c>
      <c r="M38" s="25" t="n">
        <v>5</v>
      </c>
      <c r="N38" s="25" t="n">
        <v>5</v>
      </c>
      <c r="O38" s="25" t="n">
        <v>2</v>
      </c>
      <c r="P38" s="26" t="inlineStr">
        <is>
          <t>Customer complaining contest winners list is fake; generic order status reply is completely unrelated to contest inquiry.</t>
        </is>
      </c>
      <c r="Q38" s="27" t="inlineStr"/>
      <c r="R38" s="28">
        <f>IF(Q38="Accept Assistant Suggestion", G38, "")</f>
        <v/>
      </c>
      <c r="S38" s="28">
        <f>IF(Q38="Accept Assistant Suggestion", I38, "")</f>
        <v/>
      </c>
      <c r="T38" s="28">
        <f>IF(Q38="Accept Assistant Suggestion", K38, "")</f>
        <v/>
      </c>
      <c r="U38" s="28">
        <f>IF(Q38="Accept Assistant Suggestion", M38, "")</f>
        <v/>
      </c>
      <c r="V38" s="28">
        <f>IF(Q38="Accept Assistant Suggestion", O38, "")</f>
        <v/>
      </c>
      <c r="W38" s="29">
        <f>IF(Q38="Accept Assistant Suggestion", "approved", IF(COUNTA(R38:V38)=5, "edited", ""))</f>
        <v/>
      </c>
      <c r="X38" s="23" t="inlineStr"/>
    </row>
    <row r="39" ht="42" customHeight="1">
      <c r="A39" s="30" t="n">
        <v>1764531</v>
      </c>
      <c r="B39" s="31" t="inlineStr">
        <is>
          <t>Hola @116928 estoy teniendo problemas con mi cuenta a la hora de hacer un pedido porque me habéis bloqueado mi cuenta, ¿me podéis ayudar?</t>
        </is>
      </c>
      <c r="C39" s="31" t="inlineStr">
        <is>
          <t>Hola, gracias por contactar con Amazon. Sentimos las molestias ocasionadas. Para poder revisar este caso a fondo, un agente especializado tomará el caso. Por favor facilítanos el número de pedido por mensaje privado. ^AmazonHelp</t>
        </is>
      </c>
      <c r="D39" s="31" t="inlineStr">
        <is>
          <t>[0.2547] hola @116928 , hoy he intentado comprar  -&gt; @149971 Hola, Josep. Lamentamos este inc | [0.2457] @115821 necesito escribirles por privado -&gt; @137875 Hola Leonardo, sin ningún proble</t>
        </is>
      </c>
      <c r="E39" s="24" t="inlineStr">
        <is>
          <t>Moderate divergence (diff 2) | Groundedness gap (J:5, A:3)</t>
        </is>
      </c>
      <c r="F39" s="32" t="n">
        <v>5</v>
      </c>
      <c r="G39" s="32" t="n">
        <v>5</v>
      </c>
      <c r="H39" s="32" t="n">
        <v>3</v>
      </c>
      <c r="I39" s="32" t="n">
        <v>4</v>
      </c>
      <c r="J39" s="32" t="n">
        <v>5</v>
      </c>
      <c r="K39" s="32" t="n">
        <v>3</v>
      </c>
      <c r="L39" s="32" t="n">
        <v>5</v>
      </c>
      <c r="M39" s="32" t="n">
        <v>5</v>
      </c>
      <c r="N39" s="32" t="n">
        <v>5</v>
      </c>
      <c r="O39" s="32" t="n">
        <v>5</v>
      </c>
      <c r="P39" s="33" t="inlineStr">
        <is>
          <t>Spanish customer locked out of account while ordering; agent appropriately escalates in Spanish to specialized agent via private message.</t>
        </is>
      </c>
      <c r="Q39" s="34" t="inlineStr"/>
      <c r="R39" s="28">
        <f>IF(Q39="Accept Assistant Suggestion", G39, "")</f>
        <v/>
      </c>
      <c r="S39" s="28">
        <f>IF(Q39="Accept Assistant Suggestion", I39, "")</f>
        <v/>
      </c>
      <c r="T39" s="28">
        <f>IF(Q39="Accept Assistant Suggestion", K39, "")</f>
        <v/>
      </c>
      <c r="U39" s="28">
        <f>IF(Q39="Accept Assistant Suggestion", M39, "")</f>
        <v/>
      </c>
      <c r="V39" s="28">
        <f>IF(Q39="Accept Assistant Suggestion", O39, "")</f>
        <v/>
      </c>
      <c r="W39" s="35">
        <f>IF(Q39="Accept Assistant Suggestion", "approved", IF(COUNTA(R39:V39)=5, "edited", ""))</f>
        <v/>
      </c>
      <c r="X39" s="31" t="inlineStr"/>
    </row>
    <row r="40" ht="42" customHeight="1">
      <c r="A40" s="22" t="n">
        <v>1829432</v>
      </c>
      <c r="B40" s="23" t="inlineStr">
        <is>
          <t>@AmazonHelp I just had a foot surgery and bought a few items that would make me more comfortable and there still not here</t>
        </is>
      </c>
      <c r="C40" s="23" t="inlineStr">
        <is>
          <t>Thanks for reaching out to Amazon Support! For account-specific details, please review your status under 'Your Orders' or 'Your Account'. If you require further assistance, please provide your Order ID and we'll be glad to help. ^AmazonHelp</t>
        </is>
      </c>
      <c r="D40" s="23" t="inlineStr">
        <is>
          <t xml:space="preserve">[0.2234] @AmazonHelp Still not here* -&gt; @167106 We appreciate the info. Who's th | [0.2055] @AmazonHelp Ahhh. That would make sense. -&gt; @122714 Our pleasure! Let us know if we </t>
        </is>
      </c>
      <c r="E40" s="24" t="inlineStr">
        <is>
          <t>Severe divergence (diff 4) | Escalation dispute (J:5 vs A:2) | Groundedness gap (J:5, A:2)</t>
        </is>
      </c>
      <c r="F40" s="25" t="n">
        <v>5</v>
      </c>
      <c r="G40" s="25" t="n">
        <v>1</v>
      </c>
      <c r="H40" s="25" t="n">
        <v>5</v>
      </c>
      <c r="I40" s="25" t="n">
        <v>1</v>
      </c>
      <c r="J40" s="25" t="n">
        <v>5</v>
      </c>
      <c r="K40" s="25" t="n">
        <v>2</v>
      </c>
      <c r="L40" s="25" t="n">
        <v>5</v>
      </c>
      <c r="M40" s="25" t="n">
        <v>5</v>
      </c>
      <c r="N40" s="25" t="n">
        <v>5</v>
      </c>
      <c r="O40" s="25" t="n">
        <v>2</v>
      </c>
      <c r="P40" s="26" t="inlineStr">
        <is>
          <t>Customer recovering from surgery complaining items haven't arrived; generic self-service order check lacks empathy and proactive logistics check.</t>
        </is>
      </c>
      <c r="Q40" s="27" t="inlineStr"/>
      <c r="R40" s="28">
        <f>IF(Q40="Accept Assistant Suggestion", G40, "")</f>
        <v/>
      </c>
      <c r="S40" s="28">
        <f>IF(Q40="Accept Assistant Suggestion", I40, "")</f>
        <v/>
      </c>
      <c r="T40" s="28">
        <f>IF(Q40="Accept Assistant Suggestion", K40, "")</f>
        <v/>
      </c>
      <c r="U40" s="28">
        <f>IF(Q40="Accept Assistant Suggestion", M40, "")</f>
        <v/>
      </c>
      <c r="V40" s="28">
        <f>IF(Q40="Accept Assistant Suggestion", O40, "")</f>
        <v/>
      </c>
      <c r="W40" s="29">
        <f>IF(Q40="Accept Assistant Suggestion", "approved", IF(COUNTA(R40:V40)=5, "edited", ""))</f>
        <v/>
      </c>
      <c r="X40" s="23" t="inlineStr"/>
    </row>
    <row r="41" ht="42" customHeight="1">
      <c r="A41" s="30" t="n">
        <v>2126759</v>
      </c>
      <c r="B41" s="31" t="inlineStr">
        <is>
          <t>@AmazonHelp Hi there. I have two orders that were meant to arrive by 2nd November. Are you able to check and see whats going on? Thanks!</t>
        </is>
      </c>
      <c r="C41" s="31" t="inlineStr">
        <is>
          <t>Thanks for reaching out to Amazon Support! For account-specific details, please review your status under 'Your Orders' or 'Your Account'. If you require further assistance, please provide your Order ID and we'll be glad to help. ^AmazonHelp</t>
        </is>
      </c>
      <c r="D41" s="31" t="inlineStr">
        <is>
          <t>[0.2058] @AmazonHelp Are you able to check based  -&gt; @153854 We don't have access to your acc | [0.1748] @AmazonHelp hi there! My order says that -&gt; @142330 I'm sorry for the delay! What do</t>
        </is>
      </c>
      <c r="E41" s="24" t="inlineStr">
        <is>
          <t>Severe divergence (diff 3) | Escalation dispute (J:5 vs A:2) | Groundedness gap (J:5, A:3)</t>
        </is>
      </c>
      <c r="F41" s="32" t="n">
        <v>5</v>
      </c>
      <c r="G41" s="32" t="n">
        <v>4</v>
      </c>
      <c r="H41" s="32" t="n">
        <v>5</v>
      </c>
      <c r="I41" s="32" t="n">
        <v>3</v>
      </c>
      <c r="J41" s="32" t="n">
        <v>5</v>
      </c>
      <c r="K41" s="32" t="n">
        <v>3</v>
      </c>
      <c r="L41" s="32" t="n">
        <v>5</v>
      </c>
      <c r="M41" s="32" t="n">
        <v>5</v>
      </c>
      <c r="N41" s="32" t="n">
        <v>5</v>
      </c>
      <c r="O41" s="32" t="n">
        <v>2</v>
      </c>
      <c r="P41" s="33" t="inlineStr">
        <is>
          <t>Customer asking to check status of two overdue orders; generic self-service order tracking response is partially helpful but fails to offer direct DM check.</t>
        </is>
      </c>
      <c r="Q41" s="34" t="inlineStr"/>
      <c r="R41" s="28">
        <f>IF(Q41="Accept Assistant Suggestion", G41, "")</f>
        <v/>
      </c>
      <c r="S41" s="28">
        <f>IF(Q41="Accept Assistant Suggestion", I41, "")</f>
        <v/>
      </c>
      <c r="T41" s="28">
        <f>IF(Q41="Accept Assistant Suggestion", K41, "")</f>
        <v/>
      </c>
      <c r="U41" s="28">
        <f>IF(Q41="Accept Assistant Suggestion", M41, "")</f>
        <v/>
      </c>
      <c r="V41" s="28">
        <f>IF(Q41="Accept Assistant Suggestion", O41, "")</f>
        <v/>
      </c>
      <c r="W41" s="35">
        <f>IF(Q41="Accept Assistant Suggestion", "approved", IF(COUNTA(R41:V41)=5, "edited", ""))</f>
        <v/>
      </c>
      <c r="X41" s="31" t="inlineStr"/>
    </row>
    <row r="42" ht="42" customHeight="1">
      <c r="A42" s="22" t="n">
        <v>2184761</v>
      </c>
      <c r="B42" s="23" t="inlineStr">
        <is>
          <t>hey @115850 does the Echo Plus in India come with a Hue bulb included?</t>
        </is>
      </c>
      <c r="C42" s="23" t="inlineStr">
        <is>
          <t>For issues with digital content or Amazon devices (such as Fire TV, Kindle, or Echo), we recommend restarting the device and checking your network connection. If using an app, ensuring the app is updated to the latest version and clearing its cache often resolves playback errors. If the issue persists, please let us know which device model you are using! ^AmazonHelp</t>
        </is>
      </c>
      <c r="D42" s="23" t="inlineStr">
        <is>
          <t xml:space="preserve">[0.3005] @118919 finally got the echo plus India  -&gt; @121278 That's amazing. How are you liki | [0.2309] Hey @115850, are the Echo devices you ar -&gt; @169705 Thanks for your interest in our </t>
        </is>
      </c>
      <c r="E42" s="24" t="inlineStr">
        <is>
          <t>Severe divergence (diff 4) | Escalation dispute (J:5 vs A:2) | Groundedness gap (J:5, A:1)</t>
        </is>
      </c>
      <c r="F42" s="25" t="n">
        <v>5</v>
      </c>
      <c r="G42" s="25" t="n">
        <v>1</v>
      </c>
      <c r="H42" s="25" t="n">
        <v>3</v>
      </c>
      <c r="I42" s="25" t="n">
        <v>1</v>
      </c>
      <c r="J42" s="25" t="n">
        <v>5</v>
      </c>
      <c r="K42" s="25" t="n">
        <v>1</v>
      </c>
      <c r="L42" s="25" t="n">
        <v>5</v>
      </c>
      <c r="M42" s="25" t="n">
        <v>5</v>
      </c>
      <c r="N42" s="25" t="n">
        <v>5</v>
      </c>
      <c r="O42" s="25" t="n">
        <v>2</v>
      </c>
      <c r="P42" s="26" t="inlineStr">
        <is>
          <t>Customer asking product specification question about Echo Plus bundling; agent gives irrelevant device troubleshooting/reboot instructions.</t>
        </is>
      </c>
      <c r="Q42" s="27" t="inlineStr"/>
      <c r="R42" s="28">
        <f>IF(Q42="Accept Assistant Suggestion", G42, "")</f>
        <v/>
      </c>
      <c r="S42" s="28">
        <f>IF(Q42="Accept Assistant Suggestion", I42, "")</f>
        <v/>
      </c>
      <c r="T42" s="28">
        <f>IF(Q42="Accept Assistant Suggestion", K42, "")</f>
        <v/>
      </c>
      <c r="U42" s="28">
        <f>IF(Q42="Accept Assistant Suggestion", M42, "")</f>
        <v/>
      </c>
      <c r="V42" s="28">
        <f>IF(Q42="Accept Assistant Suggestion", O42, "")</f>
        <v/>
      </c>
      <c r="W42" s="29">
        <f>IF(Q42="Accept Assistant Suggestion", "approved", IF(COUNTA(R42:V42)=5, "edited", ""))</f>
        <v/>
      </c>
      <c r="X42" s="23" t="inlineStr"/>
    </row>
    <row r="43" ht="42" customHeight="1">
      <c r="A43" s="30" t="n">
        <v>2254381</v>
      </c>
      <c r="B43" s="31" t="inlineStr">
        <is>
          <t>@AmazonHelp Dizem que o ZIP (codigo postal) não corresponde ao ''State''</t>
        </is>
      </c>
      <c r="C43" s="31" t="inlineStr">
        <is>
          <t>Thanks for reaching out to Amazon Support! For account-specific details, please review your status under 'Your Orders' or 'Your Account'. If you require further assistance, please provide your Order ID and we'll be glad to help. ^AmazonHelp</t>
        </is>
      </c>
      <c r="D43" s="31" t="inlineStr">
        <is>
          <t>[0.1514] @AmazonHelp State of it! https://t.co/5h -&gt; @179020 So sorry to see your package arr | [0.1282] @AmazonHelp Era pra ontem! :D Só que com -&gt; @134333 Barbara, por favor entre em cont</t>
        </is>
      </c>
      <c r="E43" s="24" t="inlineStr">
        <is>
          <t>Severe divergence (diff 4) | Escalation dispute (J:5 vs A:2) | Groundedness gap (J:5, A:1)</t>
        </is>
      </c>
      <c r="F43" s="32" t="n">
        <v>5</v>
      </c>
      <c r="G43" s="32" t="n">
        <v>1</v>
      </c>
      <c r="H43" s="32" t="n">
        <v>5</v>
      </c>
      <c r="I43" s="32" t="n">
        <v>1</v>
      </c>
      <c r="J43" s="32" t="n">
        <v>5</v>
      </c>
      <c r="K43" s="32" t="n">
        <v>1</v>
      </c>
      <c r="L43" s="32" t="n">
        <v>5</v>
      </c>
      <c r="M43" s="32" t="n">
        <v>5</v>
      </c>
      <c r="N43" s="32" t="n">
        <v>5</v>
      </c>
      <c r="O43" s="32" t="n">
        <v>2</v>
      </c>
      <c r="P43" s="33" t="inlineStr">
        <is>
          <t>Portuguese customer reporting postal code/state mismatch error; agent gives generic English order status template.</t>
        </is>
      </c>
      <c r="Q43" s="34" t="inlineStr"/>
      <c r="R43" s="28">
        <f>IF(Q43="Accept Assistant Suggestion", G43, "")</f>
        <v/>
      </c>
      <c r="S43" s="28">
        <f>IF(Q43="Accept Assistant Suggestion", I43, "")</f>
        <v/>
      </c>
      <c r="T43" s="28">
        <f>IF(Q43="Accept Assistant Suggestion", K43, "")</f>
        <v/>
      </c>
      <c r="U43" s="28">
        <f>IF(Q43="Accept Assistant Suggestion", M43, "")</f>
        <v/>
      </c>
      <c r="V43" s="28">
        <f>IF(Q43="Accept Assistant Suggestion", O43, "")</f>
        <v/>
      </c>
      <c r="W43" s="35">
        <f>IF(Q43="Accept Assistant Suggestion", "approved", IF(COUNTA(R43:V43)=5, "edited", ""))</f>
        <v/>
      </c>
      <c r="X43" s="31" t="inlineStr"/>
    </row>
    <row r="44" ht="42" customHeight="1">
      <c r="A44" s="22" t="n">
        <v>2465040</v>
      </c>
      <c r="B44" s="23" t="inlineStr">
        <is>
          <t>@AmazonHelp A ver si entre todo el amor también os sobra una Switch, que mis followers son unos desagradecidos y no me regalan ni una foto de la Switch... &amp;lt;3 &amp;lt;3 &amp;lt;3</t>
        </is>
      </c>
      <c r="C44" s="23" t="inlineStr">
        <is>
          <t>Hola, gracias por contactar con Amazon. Sentimos las molestias ocasionadas. Para poder revisar este caso a fondo, un agente especializado tomará el caso. Por favor facilítanos el número de pedido por mensaje privado. ^AmazonHelp</t>
        </is>
      </c>
      <c r="D44" s="23" t="inlineStr">
        <is>
          <t>[0.2505] @AmazonHelp &amp;lt;&amp;lt;CR&amp;gt;&amp;gt;, ¡que flo -&gt; @179127 Lamento saber de este inconvenie | [0.1724] @116928 Es que ni se molestaron en llama -&gt; @148239 Hola Carlos, lamento mucho saber</t>
        </is>
      </c>
      <c r="E44" s="24" t="inlineStr">
        <is>
          <t>Severe divergence (diff 4) | Escalation dispute (J:5 vs A:1) | Groundedness gap (J:5, A:1)</t>
        </is>
      </c>
      <c r="F44" s="25" t="n">
        <v>5</v>
      </c>
      <c r="G44" s="25" t="n">
        <v>1</v>
      </c>
      <c r="H44" s="25" t="n">
        <v>3</v>
      </c>
      <c r="I44" s="25" t="n">
        <v>1</v>
      </c>
      <c r="J44" s="25" t="n">
        <v>5</v>
      </c>
      <c r="K44" s="25" t="n">
        <v>1</v>
      </c>
      <c r="L44" s="25" t="n">
        <v>5</v>
      </c>
      <c r="M44" s="25" t="n">
        <v>5</v>
      </c>
      <c r="N44" s="25" t="n">
        <v>5</v>
      </c>
      <c r="O44" s="25" t="n">
        <v>1</v>
      </c>
      <c r="P44" s="26" t="inlineStr">
        <is>
          <t>Spanish banter requesting a Nintendo Switch; agent inappropriately treats banter as serious complaint and escalates with apology.</t>
        </is>
      </c>
      <c r="Q44" s="27" t="inlineStr"/>
      <c r="R44" s="28">
        <f>IF(Q44="Accept Assistant Suggestion", G44, "")</f>
        <v/>
      </c>
      <c r="S44" s="28">
        <f>IF(Q44="Accept Assistant Suggestion", I44, "")</f>
        <v/>
      </c>
      <c r="T44" s="28">
        <f>IF(Q44="Accept Assistant Suggestion", K44, "")</f>
        <v/>
      </c>
      <c r="U44" s="28">
        <f>IF(Q44="Accept Assistant Suggestion", M44, "")</f>
        <v/>
      </c>
      <c r="V44" s="28">
        <f>IF(Q44="Accept Assistant Suggestion", O44, "")</f>
        <v/>
      </c>
      <c r="W44" s="29">
        <f>IF(Q44="Accept Assistant Suggestion", "approved", IF(COUNTA(R44:V44)=5, "edited", ""))</f>
        <v/>
      </c>
      <c r="X44" s="23" t="inlineStr"/>
    </row>
    <row r="45" ht="42" customHeight="1">
      <c r="A45" s="30" t="n">
        <v>2531101</v>
      </c>
      <c r="B45" s="31" t="inlineStr">
        <is>
          <t>あ～～～アマゾンのミュージックアンリミテッド入会しちゃった～～～ああ～～～ジュディマリ聴き放題～～～あああ～～～～</t>
        </is>
      </c>
      <c r="C45" s="31"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D45" s="31" t="inlineStr"/>
      <c r="E45" s="24" t="inlineStr">
        <is>
          <t>Severe divergence (diff 4) | Escalation dispute (J:4 vs A:2) | Groundedness gap (J:5, A:1)</t>
        </is>
      </c>
      <c r="F45" s="32" t="n">
        <v>5</v>
      </c>
      <c r="G45" s="32" t="n">
        <v>2</v>
      </c>
      <c r="H45" s="32" t="n">
        <v>3</v>
      </c>
      <c r="I45" s="32" t="n">
        <v>1</v>
      </c>
      <c r="J45" s="32" t="n">
        <v>5</v>
      </c>
      <c r="K45" s="32" t="n">
        <v>1</v>
      </c>
      <c r="L45" s="32" t="n">
        <v>5</v>
      </c>
      <c r="M45" s="32" t="n">
        <v>5</v>
      </c>
      <c r="N45" s="32" t="n">
        <v>4</v>
      </c>
      <c r="O45" s="32" t="n">
        <v>2</v>
      </c>
      <c r="P45" s="33" t="inlineStr">
        <is>
          <t>Japanese customer enthusiastically singing about joining Amazon Music Unlimited; agent inappropriately apologizes for inconvenience and requests DM.</t>
        </is>
      </c>
      <c r="Q45" s="34" t="inlineStr"/>
      <c r="R45" s="28">
        <f>IF(Q45="Accept Assistant Suggestion", G45, "")</f>
        <v/>
      </c>
      <c r="S45" s="28">
        <f>IF(Q45="Accept Assistant Suggestion", I45, "")</f>
        <v/>
      </c>
      <c r="T45" s="28">
        <f>IF(Q45="Accept Assistant Suggestion", K45, "")</f>
        <v/>
      </c>
      <c r="U45" s="28">
        <f>IF(Q45="Accept Assistant Suggestion", M45, "")</f>
        <v/>
      </c>
      <c r="V45" s="28">
        <f>IF(Q45="Accept Assistant Suggestion", O45, "")</f>
        <v/>
      </c>
      <c r="W45" s="35">
        <f>IF(Q45="Accept Assistant Suggestion", "approved", IF(COUNTA(R45:V45)=5, "edited", ""))</f>
        <v/>
      </c>
      <c r="X45" s="31" t="inlineStr"/>
    </row>
    <row r="46" ht="42" customHeight="1">
      <c r="A46" s="22" t="n">
        <v>2541046</v>
      </c>
      <c r="B46" s="23" t="inlineStr">
        <is>
          <t>What is this @115850 day light cheating 
Regular price without deal is 2970 and when you press show me the deal shows 2978 (8ruppes more) and regular price goes up to 3028. Might be nominal but this is cheating in the name of "lightning deal" https://t.co/LL6kAuqoK1</t>
        </is>
      </c>
      <c r="C46" s="23" t="inlineStr">
        <is>
          <t>If your order has not yet entered the shipping process, you can make changes to your delivery address, payment method, or cancel items directly in 'Your Orders' &gt; 'Order Details'. Please note that promotional discount codes must be entered at checkout before completing the purchase. Feel free to reach out if you need assistance with an order! ^AmazonHelp</t>
        </is>
      </c>
      <c r="D46" s="23" t="inlineStr">
        <is>
          <t>[0.3241] @115850 Quick heal total security 3pc-3y -&gt; @171201 As you can see, these are offers | [0.2568] @115850 what kind of deal is it? Regular -&gt; @176626 Sorry about this. Please share t</t>
        </is>
      </c>
      <c r="E46" s="24" t="inlineStr">
        <is>
          <t>Severe divergence (diff 3) | Escalation dispute (J:5 vs A:3) | Groundedness gap (J:5, A:3)</t>
        </is>
      </c>
      <c r="F46" s="25" t="n">
        <v>5</v>
      </c>
      <c r="G46" s="25" t="n">
        <v>2</v>
      </c>
      <c r="H46" s="25" t="n">
        <v>5</v>
      </c>
      <c r="I46" s="25" t="n">
        <v>2</v>
      </c>
      <c r="J46" s="25" t="n">
        <v>5</v>
      </c>
      <c r="K46" s="25" t="n">
        <v>3</v>
      </c>
      <c r="L46" s="25" t="n">
        <v>5</v>
      </c>
      <c r="M46" s="25" t="n">
        <v>5</v>
      </c>
      <c r="N46" s="25" t="n">
        <v>5</v>
      </c>
      <c r="O46" s="25" t="n">
        <v>3</v>
      </c>
      <c r="P46" s="26" t="inlineStr">
        <is>
          <t>Customer alleging price hike on lightning deal; agent gives general order modification/promo advice which partially touches promo code entry but misses pricing dispute.</t>
        </is>
      </c>
      <c r="Q46" s="27" t="inlineStr"/>
      <c r="R46" s="28">
        <f>IF(Q46="Accept Assistant Suggestion", G46, "")</f>
        <v/>
      </c>
      <c r="S46" s="28">
        <f>IF(Q46="Accept Assistant Suggestion", I46, "")</f>
        <v/>
      </c>
      <c r="T46" s="28">
        <f>IF(Q46="Accept Assistant Suggestion", K46, "")</f>
        <v/>
      </c>
      <c r="U46" s="28">
        <f>IF(Q46="Accept Assistant Suggestion", M46, "")</f>
        <v/>
      </c>
      <c r="V46" s="28">
        <f>IF(Q46="Accept Assistant Suggestion", O46, "")</f>
        <v/>
      </c>
      <c r="W46" s="29">
        <f>IF(Q46="Accept Assistant Suggestion", "approved", IF(COUNTA(R46:V46)=5, "edited", ""))</f>
        <v/>
      </c>
      <c r="X46" s="23" t="inlineStr"/>
    </row>
    <row r="47" ht="42" customHeight="1">
      <c r="A47" s="30" t="n">
        <v>2611666</v>
      </c>
      <c r="B47" s="31" t="inlineStr">
        <is>
          <t>@AmazonHelp It was in the app. Presuming it was .co.uk.</t>
        </is>
      </c>
      <c r="C47" s="31" t="inlineStr">
        <is>
          <t>Thanks for reaching out to Amazon Support! For account-specific details, please review your status under 'Your Orders' or 'Your Account'. If you require further assistance, please provide your Order ID and we'll be glad to help. ^AmazonHelp</t>
        </is>
      </c>
      <c r="D47" s="31" t="inlineStr">
        <is>
          <t xml:space="preserve">[0.3957] @AmazonHelp .co.uk engish -&gt; @158441 Thanks for confirming! Deliverie | [0.3382] @AmazonHelp Sure! It's co.uk -&gt; @133006 We want to help you figure this </t>
        </is>
      </c>
      <c r="E47" s="24" t="inlineStr">
        <is>
          <t>Severe divergence (diff 3) | Escalation dispute (J:5 vs A:2) | Groundedness gap (J:5, A:2)</t>
        </is>
      </c>
      <c r="F47" s="32" t="n">
        <v>5</v>
      </c>
      <c r="G47" s="32" t="n">
        <v>2</v>
      </c>
      <c r="H47" s="32" t="n">
        <v>5</v>
      </c>
      <c r="I47" s="32" t="n">
        <v>2</v>
      </c>
      <c r="J47" s="32" t="n">
        <v>5</v>
      </c>
      <c r="K47" s="32" t="n">
        <v>2</v>
      </c>
      <c r="L47" s="32" t="n">
        <v>5</v>
      </c>
      <c r="M47" s="32" t="n">
        <v>5</v>
      </c>
      <c r="N47" s="32" t="n">
        <v>5</v>
      </c>
      <c r="O47" s="32" t="n">
        <v>2</v>
      </c>
      <c r="P47" s="33" t="inlineStr">
        <is>
          <t>Customer providing app context for earlier problem; generic order status reply fails to maintain conversation continuity.</t>
        </is>
      </c>
      <c r="Q47" s="34" t="inlineStr"/>
      <c r="R47" s="28">
        <f>IF(Q47="Accept Assistant Suggestion", G47, "")</f>
        <v/>
      </c>
      <c r="S47" s="28">
        <f>IF(Q47="Accept Assistant Suggestion", I47, "")</f>
        <v/>
      </c>
      <c r="T47" s="28">
        <f>IF(Q47="Accept Assistant Suggestion", K47, "")</f>
        <v/>
      </c>
      <c r="U47" s="28">
        <f>IF(Q47="Accept Assistant Suggestion", M47, "")</f>
        <v/>
      </c>
      <c r="V47" s="28">
        <f>IF(Q47="Accept Assistant Suggestion", O47, "")</f>
        <v/>
      </c>
      <c r="W47" s="35">
        <f>IF(Q47="Accept Assistant Suggestion", "approved", IF(COUNTA(R47:V47)=5, "edited", ""))</f>
        <v/>
      </c>
      <c r="X47" s="31" t="inlineStr"/>
    </row>
    <row r="48" ht="42" customHeight="1">
      <c r="A48" s="22" t="n">
        <v>2777430</v>
      </c>
      <c r="B48" s="23" t="inlineStr">
        <is>
          <t>@AmazonHelp I think it was from the Kindle app. I followed it but it just took me to your website. Then I clicked off it and it was gone</t>
        </is>
      </c>
      <c r="C48" s="23" t="inlineStr">
        <is>
          <t>For issues with digital content or Amazon devices (such as Fire TV, Kindle, or Echo), we recommend restarting the device and checking your network connection. If using an app, ensuring the app is updated to the latest version and clearing its cache often resolves playback errors. If the issue persists, please let us know which device model you are using! ^AmazonHelp</t>
        </is>
      </c>
      <c r="D48" s="23" t="inlineStr">
        <is>
          <t xml:space="preserve">[0.2286] @AmazonHelp it was from https://t.co/KH7 -&gt; @142949 We'd like to investigate this fu | [0.1637] @AmazonHelp ordered a package and it sai -&gt; @169236 I'm sorry the order hasn't been </t>
        </is>
      </c>
      <c r="E48" s="24" t="inlineStr">
        <is>
          <t>Severe divergence (diff 3) | Escalation dispute (J:5 vs A:2) | Groundedness gap (J:5, A:3)</t>
        </is>
      </c>
      <c r="F48" s="25" t="n">
        <v>5</v>
      </c>
      <c r="G48" s="25" t="n">
        <v>2</v>
      </c>
      <c r="H48" s="25" t="n">
        <v>3</v>
      </c>
      <c r="I48" s="25" t="n">
        <v>2</v>
      </c>
      <c r="J48" s="25" t="n">
        <v>5</v>
      </c>
      <c r="K48" s="25" t="n">
        <v>3</v>
      </c>
      <c r="L48" s="25" t="n">
        <v>5</v>
      </c>
      <c r="M48" s="25" t="n">
        <v>5</v>
      </c>
      <c r="N48" s="25" t="n">
        <v>5</v>
      </c>
      <c r="O48" s="25" t="n">
        <v>2</v>
      </c>
      <c r="P48" s="26" t="inlineStr">
        <is>
          <t>Customer clarifying Kindle app link navigation; agent gives general device restart troubleshooting rather than addressing link issue.</t>
        </is>
      </c>
      <c r="Q48" s="27" t="inlineStr"/>
      <c r="R48" s="28">
        <f>IF(Q48="Accept Assistant Suggestion", G48, "")</f>
        <v/>
      </c>
      <c r="S48" s="28">
        <f>IF(Q48="Accept Assistant Suggestion", I48, "")</f>
        <v/>
      </c>
      <c r="T48" s="28">
        <f>IF(Q48="Accept Assistant Suggestion", K48, "")</f>
        <v/>
      </c>
      <c r="U48" s="28">
        <f>IF(Q48="Accept Assistant Suggestion", M48, "")</f>
        <v/>
      </c>
      <c r="V48" s="28">
        <f>IF(Q48="Accept Assistant Suggestion", O48, "")</f>
        <v/>
      </c>
      <c r="W48" s="29">
        <f>IF(Q48="Accept Assistant Suggestion", "approved", IF(COUNTA(R48:V48)=5, "edited", ""))</f>
        <v/>
      </c>
      <c r="X48" s="23" t="inlineStr"/>
    </row>
    <row r="49" ht="42" customHeight="1">
      <c r="A49" s="30" t="n">
        <v>2803279</v>
      </c>
      <c r="B49" s="31" t="inlineStr">
        <is>
          <t>So @115821 sent me a text saying I should buy something new for my cat.  The only thing I would ever need if I had a cat is a lifetime supply of allergy pills.  Bigger question - what on earth did someone in my house search for to trigger that algorithm?</t>
        </is>
      </c>
      <c r="C49" s="31" t="inlineStr">
        <is>
          <t>Thanks for reaching out to Amazon Support! For account-specific details, please review your status under 'Your Orders' or 'Your Account'. If you require further assistance, please provide your Order ID and we'll be glad to help. ^AmazonHelp</t>
        </is>
      </c>
      <c r="D49" s="31" t="inlineStr">
        <is>
          <t>[0.1607] In today’s news, @115821 sent me a MacBo -&gt; @180273 Thank you for letting us know! Y | [0.1519] Did somebody order something &amp;amp; ship  -&gt; @119626 I'm sorry for the unexpected pac</t>
        </is>
      </c>
      <c r="E49" s="24" t="inlineStr">
        <is>
          <t>Severe divergence (diff 4) | Escalation dispute (J:5 vs A:3) | Groundedness gap (J:5, A:1)</t>
        </is>
      </c>
      <c r="F49" s="32" t="n">
        <v>5</v>
      </c>
      <c r="G49" s="32" t="n">
        <v>1</v>
      </c>
      <c r="H49" s="32" t="n">
        <v>5</v>
      </c>
      <c r="I49" s="32" t="n">
        <v>1</v>
      </c>
      <c r="J49" s="32" t="n">
        <v>5</v>
      </c>
      <c r="K49" s="32" t="n">
        <v>1</v>
      </c>
      <c r="L49" s="32" t="n">
        <v>5</v>
      </c>
      <c r="M49" s="32" t="n">
        <v>5</v>
      </c>
      <c r="N49" s="32" t="n">
        <v>5</v>
      </c>
      <c r="O49" s="32" t="n">
        <v>3</v>
      </c>
      <c r="P49" s="33" t="inlineStr">
        <is>
          <t>Customer humorously questioning cat product recommendation; generic order status response misses the algorithmic recommendation context.</t>
        </is>
      </c>
      <c r="Q49" s="34" t="inlineStr"/>
      <c r="R49" s="28">
        <f>IF(Q49="Accept Assistant Suggestion", G49, "")</f>
        <v/>
      </c>
      <c r="S49" s="28">
        <f>IF(Q49="Accept Assistant Suggestion", I49, "")</f>
        <v/>
      </c>
      <c r="T49" s="28">
        <f>IF(Q49="Accept Assistant Suggestion", K49, "")</f>
        <v/>
      </c>
      <c r="U49" s="28">
        <f>IF(Q49="Accept Assistant Suggestion", M49, "")</f>
        <v/>
      </c>
      <c r="V49" s="28">
        <f>IF(Q49="Accept Assistant Suggestion", O49, "")</f>
        <v/>
      </c>
      <c r="W49" s="35">
        <f>IF(Q49="Accept Assistant Suggestion", "approved", IF(COUNTA(R49:V49)=5, "edited", ""))</f>
        <v/>
      </c>
      <c r="X49" s="31" t="inlineStr"/>
    </row>
    <row r="50" ht="42" customHeight="1">
      <c r="A50" s="22" t="n">
        <v>2841828</v>
      </c>
      <c r="B50" s="23" t="inlineStr">
        <is>
          <t>Meu único estímulo para terminar a semana nesta altura do campeonato e a expectativa da chegada do meu pedido da @115821 &amp;lt;3</t>
        </is>
      </c>
      <c r="C50" s="23" t="inlineStr">
        <is>
          <t>Hola, gracias por contactar con Amazon. Sentimos las molestias ocasionadas. Para poder revisar este caso a fondo, un agente especializado tomará el caso. Por favor facilítanos el número de pedido por mensaje privado. ^AmazonHelp</t>
        </is>
      </c>
      <c r="D50" s="23" t="inlineStr">
        <is>
          <t>[0.2837] Até agora não mudou o status do meu pedi -&gt; @138274 Olá Paulo, lamentamos o inconven | [0.2754] @AmazonHelp na ultima atualização da ent -&gt; @116614 Olá Georgiano. Sinto muito em sa</t>
        </is>
      </c>
      <c r="E50" s="24" t="inlineStr">
        <is>
          <t>Severe divergence (diff 4) | Escalation dispute (J:5 vs A:1) | Groundedness gap (J:5, A:2)</t>
        </is>
      </c>
      <c r="F50" s="25" t="n">
        <v>5</v>
      </c>
      <c r="G50" s="25" t="n">
        <v>1</v>
      </c>
      <c r="H50" s="25" t="n">
        <v>3</v>
      </c>
      <c r="I50" s="25" t="n">
        <v>1</v>
      </c>
      <c r="J50" s="25" t="n">
        <v>5</v>
      </c>
      <c r="K50" s="25" t="n">
        <v>2</v>
      </c>
      <c r="L50" s="25" t="n">
        <v>5</v>
      </c>
      <c r="M50" s="25" t="n">
        <v>5</v>
      </c>
      <c r="N50" s="25" t="n">
        <v>5</v>
      </c>
      <c r="O50" s="25" t="n">
        <v>1</v>
      </c>
      <c r="P50" s="26" t="inlineStr">
        <is>
          <t>Portuguese customer excited about upcoming delivery; agent inappropriately apologizes in Spanish and escalates.</t>
        </is>
      </c>
      <c r="Q50" s="27" t="inlineStr"/>
      <c r="R50" s="28">
        <f>IF(Q50="Accept Assistant Suggestion", G50, "")</f>
        <v/>
      </c>
      <c r="S50" s="28">
        <f>IF(Q50="Accept Assistant Suggestion", I50, "")</f>
        <v/>
      </c>
      <c r="T50" s="28">
        <f>IF(Q50="Accept Assistant Suggestion", K50, "")</f>
        <v/>
      </c>
      <c r="U50" s="28">
        <f>IF(Q50="Accept Assistant Suggestion", M50, "")</f>
        <v/>
      </c>
      <c r="V50" s="28">
        <f>IF(Q50="Accept Assistant Suggestion", O50, "")</f>
        <v/>
      </c>
      <c r="W50" s="29">
        <f>IF(Q50="Accept Assistant Suggestion", "approved", IF(COUNTA(R50:V50)=5, "edited", ""))</f>
        <v/>
      </c>
      <c r="X50" s="23" t="inlineStr"/>
    </row>
    <row r="51" ht="42" customHeight="1">
      <c r="A51" s="30" t="n">
        <v>2899522</v>
      </c>
      <c r="B51" s="31" t="inlineStr">
        <is>
          <t>Look what I've had delivered from @115830 as a surprise present for making them laugh with one of my tweets! I love them, they are so cute and cosy! Thank you very very much 💖 https://t.co/Uhncm1ckG9</t>
        </is>
      </c>
      <c r="C51" s="31" t="inlineStr">
        <is>
          <t>Thanks for reaching out to Amazon Support! For account-specific details, please review your status under 'Your Orders' or 'Your Account'. If you require further assistance, please provide your Order ID and we'll be glad to help. ^AmazonHelp</t>
        </is>
      </c>
      <c r="D51" s="31" t="inlineStr">
        <is>
          <t>[0.2069] @AmazonHelp Thanks, the message advised  -&gt; @169187 I'm sorry for the trouble. Howev | [0.2139] @AmazonHelp It's okay lovely, he deliver -&gt; @162745 Thanks for the update, Amelia! W</t>
        </is>
      </c>
      <c r="E51" s="24" t="inlineStr">
        <is>
          <t>Severe divergence (diff 4) | Escalation dispute (J:5 vs A:1) | Groundedness gap (J:5, A:1)</t>
        </is>
      </c>
      <c r="F51" s="32" t="n">
        <v>5</v>
      </c>
      <c r="G51" s="32" t="n">
        <v>1</v>
      </c>
      <c r="H51" s="32" t="n">
        <v>5</v>
      </c>
      <c r="I51" s="32" t="n">
        <v>1</v>
      </c>
      <c r="J51" s="32" t="n">
        <v>5</v>
      </c>
      <c r="K51" s="32" t="n">
        <v>1</v>
      </c>
      <c r="L51" s="32" t="n">
        <v>5</v>
      </c>
      <c r="M51" s="32" t="n">
        <v>5</v>
      </c>
      <c r="N51" s="32" t="n">
        <v>5</v>
      </c>
      <c r="O51" s="32" t="n">
        <v>1</v>
      </c>
      <c r="P51" s="33" t="inlineStr">
        <is>
          <t>Customer thanking Amazon for surprise gift delivery; agent gives generic order status check instead of acknowledging gratitude.</t>
        </is>
      </c>
      <c r="Q51" s="34" t="inlineStr"/>
      <c r="R51" s="28">
        <f>IF(Q51="Accept Assistant Suggestion", G51, "")</f>
        <v/>
      </c>
      <c r="S51" s="28">
        <f>IF(Q51="Accept Assistant Suggestion", I51, "")</f>
        <v/>
      </c>
      <c r="T51" s="28">
        <f>IF(Q51="Accept Assistant Suggestion", K51, "")</f>
        <v/>
      </c>
      <c r="U51" s="28">
        <f>IF(Q51="Accept Assistant Suggestion", M51, "")</f>
        <v/>
      </c>
      <c r="V51" s="28">
        <f>IF(Q51="Accept Assistant Suggestion", O51, "")</f>
        <v/>
      </c>
      <c r="W51" s="35">
        <f>IF(Q51="Accept Assistant Suggestion", "approved", IF(COUNTA(R51:V51)=5, "edited", ""))</f>
        <v/>
      </c>
      <c r="X51" s="31" t="inlineStr"/>
    </row>
    <row r="52" ht="42" customHeight="1">
      <c r="A52" s="22" t="n">
        <v>2922515</v>
      </c>
      <c r="B52" s="23" t="inlineStr">
        <is>
          <t>@115821 I think amazon? It’s listed as prime shipping. &amp;amp; now it’s saying the 29th-30th!😡🤬 If it is a third party vendor, amazon should be more stringent with their policies allowing vendors prime status. This isn’t the first time, but this is the biggest upset. https://t.co/z360cZz3f0</t>
        </is>
      </c>
      <c r="C52" s="23" t="inlineStr">
        <is>
          <t>You can view, update, or cancel your Prime subscription settings at any time by visiting 'Your Account' &gt; 'Prime' &gt; 'Manage Membership'. If you choose to end your membership and have not used any Prime benefits during the billing cycle, you may be eligible for a full refund. Let us know if you have questions regarding a specific charge! ^AmazonHelp</t>
        </is>
      </c>
      <c r="D52" s="23" t="inlineStr">
        <is>
          <t>[0.1739] @AmazonHelp Everything was listed as Pri -&gt; @156610 I understand where you're coming | [0.1337] @AmazonHelp Yep. This isn't the first ti -&gt; @153407 Has the tracking updated to give</t>
        </is>
      </c>
      <c r="E52" s="24" t="inlineStr">
        <is>
          <t>Severe divergence (diff 4) | Escalation dispute (J:5 vs A:1) | Groundedness gap (J:5, A:1)</t>
        </is>
      </c>
      <c r="F52" s="25" t="n">
        <v>5</v>
      </c>
      <c r="G52" s="25" t="n">
        <v>1</v>
      </c>
      <c r="H52" s="25" t="n">
        <v>5</v>
      </c>
      <c r="I52" s="25" t="n">
        <v>1</v>
      </c>
      <c r="J52" s="25" t="n">
        <v>5</v>
      </c>
      <c r="K52" s="25" t="n">
        <v>1</v>
      </c>
      <c r="L52" s="25" t="n">
        <v>5</v>
      </c>
      <c r="M52" s="25" t="n">
        <v>5</v>
      </c>
      <c r="N52" s="25" t="n">
        <v>5</v>
      </c>
      <c r="O52" s="25" t="n">
        <v>1</v>
      </c>
      <c r="P52" s="26" t="inlineStr">
        <is>
          <t>Customer complaining late Prime delivery from 3rd party vendor; agent inappropriately gives Prime membership cancellation instructions.</t>
        </is>
      </c>
      <c r="Q52" s="27" t="inlineStr"/>
      <c r="R52" s="28">
        <f>IF(Q52="Accept Assistant Suggestion", G52, "")</f>
        <v/>
      </c>
      <c r="S52" s="28">
        <f>IF(Q52="Accept Assistant Suggestion", I52, "")</f>
        <v/>
      </c>
      <c r="T52" s="28">
        <f>IF(Q52="Accept Assistant Suggestion", K52, "")</f>
        <v/>
      </c>
      <c r="U52" s="28">
        <f>IF(Q52="Accept Assistant Suggestion", M52, "")</f>
        <v/>
      </c>
      <c r="V52" s="28">
        <f>IF(Q52="Accept Assistant Suggestion", O52, "")</f>
        <v/>
      </c>
      <c r="W52" s="29">
        <f>IF(Q52="Accept Assistant Suggestion", "approved", IF(COUNTA(R52:V52)=5, "edited", ""))</f>
        <v/>
      </c>
      <c r="X52" s="23" t="inlineStr"/>
    </row>
    <row r="53" ht="42" customHeight="1">
      <c r="A53" s="30" t="n">
        <v>2926332</v>
      </c>
      <c r="B53" s="31" t="inlineStr">
        <is>
          <t>あーAmazonマケプレの出品者に連絡するべきか、もう少し待つべきか、どーしたらいいんだもー(💢 ఠㅂఠ)⚡</t>
        </is>
      </c>
      <c r="C53" s="31"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D53" s="31" t="inlineStr"/>
      <c r="E53" s="24" t="inlineStr">
        <is>
          <t>Severe divergence (diff 3) | Escalation dispute (J:4 vs A:5) | Groundedness gap (J:5, A:2)</t>
        </is>
      </c>
      <c r="F53" s="32" t="n">
        <v>5</v>
      </c>
      <c r="G53" s="32" t="n">
        <v>4</v>
      </c>
      <c r="H53" s="32" t="n">
        <v>3</v>
      </c>
      <c r="I53" s="32" t="n">
        <v>3</v>
      </c>
      <c r="J53" s="32" t="n">
        <v>5</v>
      </c>
      <c r="K53" s="32" t="n">
        <v>2</v>
      </c>
      <c r="L53" s="32" t="n">
        <v>5</v>
      </c>
      <c r="M53" s="32" t="n">
        <v>5</v>
      </c>
      <c r="N53" s="32" t="n">
        <v>4</v>
      </c>
      <c r="O53" s="32" t="n">
        <v>5</v>
      </c>
      <c r="P53" s="33" t="inlineStr">
        <is>
          <t>Japanese customer debating whether to contact marketplace seller about delay; agent politely guides to DM for specialist assistance in Japanese.</t>
        </is>
      </c>
      <c r="Q53" s="34" t="inlineStr"/>
      <c r="R53" s="28">
        <f>IF(Q53="Accept Assistant Suggestion", G53, "")</f>
        <v/>
      </c>
      <c r="S53" s="28">
        <f>IF(Q53="Accept Assistant Suggestion", I53, "")</f>
        <v/>
      </c>
      <c r="T53" s="28">
        <f>IF(Q53="Accept Assistant Suggestion", K53, "")</f>
        <v/>
      </c>
      <c r="U53" s="28">
        <f>IF(Q53="Accept Assistant Suggestion", M53, "")</f>
        <v/>
      </c>
      <c r="V53" s="28">
        <f>IF(Q53="Accept Assistant Suggestion", O53, "")</f>
        <v/>
      </c>
      <c r="W53" s="35">
        <f>IF(Q53="Accept Assistant Suggestion", "approved", IF(COUNTA(R53:V53)=5, "edited", ""))</f>
        <v/>
      </c>
      <c r="X53" s="31" t="inlineStr"/>
    </row>
    <row r="54" ht="42" customHeight="1">
      <c r="A54" s="22" t="n">
        <v>2927090</v>
      </c>
      <c r="B54" s="23" t="inlineStr">
        <is>
          <t>@AmazonHelp Eso me dijeron, el problema es que no llama. DHL, Fedex (si lo solicito) y estafeta lo hacen</t>
        </is>
      </c>
      <c r="C54" s="23" t="inlineStr">
        <is>
          <t>Hola, gracias por contactar con Amazon. Sentimos las molestias ocasionadas. Para poder revisar este caso a fondo, un agente especializado tomará el caso. Por favor facilítanos el número de pedido por mensaje privado. ^AmazonHelp</t>
        </is>
      </c>
      <c r="D54" s="23" t="inlineStr">
        <is>
          <t xml:space="preserve">[0.2729] @AmazonHelp a donde porque ahi me dicenq -&gt; @155474 Pdro, ¿puedes iniciar sesión en  | [0.2338] @AmazonHelp No, el problema es que no me -&gt; @143748 Gracias por la información, ¿el </t>
        </is>
      </c>
      <c r="E54" s="24" t="inlineStr">
        <is>
          <t>Moderate divergence (diff 2) | Escalation dispute (J:5 vs A:4) | Groundedness gap (J:5, A:3)</t>
        </is>
      </c>
      <c r="F54" s="25" t="n">
        <v>5</v>
      </c>
      <c r="G54" s="25" t="n">
        <v>3</v>
      </c>
      <c r="H54" s="25" t="n">
        <v>3</v>
      </c>
      <c r="I54" s="25" t="n">
        <v>3</v>
      </c>
      <c r="J54" s="25" t="n">
        <v>5</v>
      </c>
      <c r="K54" s="25" t="n">
        <v>3</v>
      </c>
      <c r="L54" s="25" t="n">
        <v>5</v>
      </c>
      <c r="M54" s="25" t="n">
        <v>5</v>
      </c>
      <c r="N54" s="25" t="n">
        <v>5</v>
      </c>
      <c r="O54" s="25" t="n">
        <v>4</v>
      </c>
      <c r="P54" s="26" t="inlineStr">
        <is>
          <t>Spanish customer complaining carrier doesn't call upon delivery; agent appropriately offers specialist escalation via private message in Spanish.</t>
        </is>
      </c>
      <c r="Q54" s="27" t="inlineStr"/>
      <c r="R54" s="28">
        <f>IF(Q54="Accept Assistant Suggestion", G54, "")</f>
        <v/>
      </c>
      <c r="S54" s="28">
        <f>IF(Q54="Accept Assistant Suggestion", I54, "")</f>
        <v/>
      </c>
      <c r="T54" s="28">
        <f>IF(Q54="Accept Assistant Suggestion", K54, "")</f>
        <v/>
      </c>
      <c r="U54" s="28">
        <f>IF(Q54="Accept Assistant Suggestion", M54, "")</f>
        <v/>
      </c>
      <c r="V54" s="28">
        <f>IF(Q54="Accept Assistant Suggestion", O54, "")</f>
        <v/>
      </c>
      <c r="W54" s="29">
        <f>IF(Q54="Accept Assistant Suggestion", "approved", IF(COUNTA(R54:V54)=5, "edited", ""))</f>
        <v/>
      </c>
      <c r="X54" s="23" t="inlineStr"/>
    </row>
    <row r="55" ht="42" customHeight="1">
      <c r="A55" s="30" t="n">
        <v>2971945</v>
      </c>
      <c r="B55" s="31" t="inlineStr">
        <is>
          <t>Amazonプライムは最初無駄だと思ってたんだが、彼女さんが無料会員になって解約し忘れて年会費払ってしまい、仕方なく使ってたんだがもはや抜けられんよ、今後もずっと払うよプライム</t>
        </is>
      </c>
      <c r="C55" s="31"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D55" s="31" t="inlineStr"/>
      <c r="E55" s="24" t="inlineStr">
        <is>
          <t>Severe divergence (diff 3) | Groundedness gap (J:5, A:2)</t>
        </is>
      </c>
      <c r="F55" s="32" t="n">
        <v>5</v>
      </c>
      <c r="G55" s="32" t="n">
        <v>3</v>
      </c>
      <c r="H55" s="32" t="n">
        <v>3</v>
      </c>
      <c r="I55" s="32" t="n">
        <v>2</v>
      </c>
      <c r="J55" s="32" t="n">
        <v>5</v>
      </c>
      <c r="K55" s="32" t="n">
        <v>2</v>
      </c>
      <c r="L55" s="32" t="n">
        <v>5</v>
      </c>
      <c r="M55" s="32" t="n">
        <v>5</v>
      </c>
      <c r="N55" s="32" t="n">
        <v>4</v>
      </c>
      <c r="O55" s="32" t="n">
        <v>4</v>
      </c>
      <c r="P55" s="33" t="inlineStr">
        <is>
          <t>Japanese customer sharing positive testimonial on Amazon Prime; agent provides standard polite Japanese support greeting and DM guidance.</t>
        </is>
      </c>
      <c r="Q55" s="34" t="inlineStr"/>
      <c r="R55" s="28">
        <f>IF(Q55="Accept Assistant Suggestion", G55, "")</f>
        <v/>
      </c>
      <c r="S55" s="28">
        <f>IF(Q55="Accept Assistant Suggestion", I55, "")</f>
        <v/>
      </c>
      <c r="T55" s="28">
        <f>IF(Q55="Accept Assistant Suggestion", K55, "")</f>
        <v/>
      </c>
      <c r="U55" s="28">
        <f>IF(Q55="Accept Assistant Suggestion", M55, "")</f>
        <v/>
      </c>
      <c r="V55" s="28">
        <f>IF(Q55="Accept Assistant Suggestion", O55, "")</f>
        <v/>
      </c>
      <c r="W55" s="35">
        <f>IF(Q55="Accept Assistant Suggestion", "approved", IF(COUNTA(R55:V55)=5, "edited", ""))</f>
        <v/>
      </c>
      <c r="X55" s="31" t="inlineStr"/>
    </row>
  </sheetData>
  <mergeCells count="6">
    <mergeCell ref="A1:D1"/>
    <mergeCell ref="A3:X3"/>
    <mergeCell ref="A4:E4"/>
    <mergeCell ref="F4:P4"/>
    <mergeCell ref="E1:X1"/>
    <mergeCell ref="Q4:X4"/>
  </mergeCells>
  <dataValidations count="2">
    <dataValidation sqref="Q6:Q55" showDropDown="0" showInputMessage="0" showErrorMessage="0" allowBlank="1" errorTitle="Invalid Action" error="Please select 'Accept Assistant Suggestion' or 'Manual Edit'." type="list">
      <formula1>"Accept Assistant Suggestion,Manual Edit"</formula1>
    </dataValidation>
    <dataValidation sqref="R6:V55" showDropDown="0" showInputMessage="0" showErrorMessage="0" allowBlank="1" errorTitle="Invalid Rating" error="Rating must be an integer between 1 (Critical Failure) and 5 (Excellent)."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9"/>
  <sheetViews>
    <sheetView showGridLines="1" workbookViewId="0">
      <selection activeCell="A1" sqref="A1"/>
    </sheetView>
  </sheetViews>
  <sheetFormatPr baseColWidth="8" defaultRowHeight="15"/>
  <cols>
    <col width="14" customWidth="1" min="1" max="1"/>
    <col width="32" customWidth="1" min="2" max="2"/>
    <col width="40" customWidth="1" min="3" max="3"/>
    <col width="45" customWidth="1" min="4" max="4"/>
    <col width="22" customWidth="1" min="5" max="5"/>
    <col width="22" customWidth="1" min="6" max="6"/>
    <col width="65" customWidth="1" min="7" max="7"/>
  </cols>
  <sheetData>
    <row r="1" ht="28" customHeight="1">
      <c r="A1" s="37" t="inlineStr">
        <is>
          <t>DIFFICULT CASES FOR PRIORITIZED HUMAN AUDIT (46 SAMPLES)</t>
        </is>
      </c>
    </row>
    <row r="2" ht="20" customHeight="1">
      <c r="A2" s="38" t="inlineStr">
        <is>
          <t>Filter criteria: Score divergence &gt;= 2, escalation disagreement, policy score &lt; 4, or groundedness score &lt; 4.</t>
        </is>
      </c>
    </row>
    <row r="3" ht="26" customHeight="1">
      <c r="A3" s="39" t="inlineStr">
        <is>
          <t>message_id</t>
        </is>
      </c>
      <c r="B3" s="39" t="inlineStr">
        <is>
          <t>audit_flag_reasons</t>
        </is>
      </c>
      <c r="C3" s="39" t="inlineStr">
        <is>
          <t>customer_text</t>
        </is>
      </c>
      <c r="D3" s="39" t="inlineStr">
        <is>
          <t>agent_response</t>
        </is>
      </c>
      <c r="E3" s="39" t="inlineStr">
        <is>
          <t>llm_scores (C,H,G,P,E)</t>
        </is>
      </c>
      <c r="F3" s="39" t="inlineStr">
        <is>
          <t>asst_scores (C,H,G,P,E)</t>
        </is>
      </c>
      <c r="G3" s="39" t="inlineStr">
        <is>
          <t>assistant_reason</t>
        </is>
      </c>
    </row>
    <row r="4" ht="42" customHeight="1">
      <c r="A4" s="30" t="n">
        <v>25279</v>
      </c>
      <c r="B4" s="40" t="inlineStr">
        <is>
          <t>Severe divergence (diff 3) | Escalation dispute (J:5 vs A:2) | Groundedness gap (J:5, A:2)</t>
        </is>
      </c>
      <c r="C4" s="31" t="inlineStr">
        <is>
          <t>@AmazonHelp Yes I have contacted Amazon and this problem is going to cost me a lot of money and as of right now there is solution.</t>
        </is>
      </c>
      <c r="D4" s="31" t="inlineStr">
        <is>
          <t>Thanks for reaching out to Amazon Support! For account-specific details, please review your status under 'Your Orders' or 'Your Account'. If you require further assistance, please provide your Order ID and we'll be glad to help. ^AmazonHelp</t>
        </is>
      </c>
      <c r="E4" s="32" t="inlineStr">
        <is>
          <t>[5, 5, 5, 5, 5]</t>
        </is>
      </c>
      <c r="F4" s="32" t="inlineStr">
        <is>
          <t>[2, 2, 2, 5, 2]</t>
        </is>
      </c>
      <c r="G4" s="31" t="inlineStr">
        <is>
          <t>Customer reports a costly unresolved problem; generic self-service order check lacks proactive escalation and misses financial urgency.</t>
        </is>
      </c>
    </row>
    <row r="5" ht="42" customHeight="1">
      <c r="A5" s="30" t="n">
        <v>65900</v>
      </c>
      <c r="B5" s="40" t="inlineStr">
        <is>
          <t>Escalation dispute (J:4 vs A:5)</t>
        </is>
      </c>
      <c r="C5" s="31" t="inlineStr">
        <is>
          <t>@119625 plzzz check DM</t>
        </is>
      </c>
      <c r="D5" s="31" t="inlineStr">
        <is>
          <t>I apologize for the inconvenience you are experiencing. To ensure this is handled thoroughly and accurately, I've flagged your inquiry for review by a customer support specialist. Please send us a Direct Message (DM) with any relevant order numbers so an agent can assist you directly. ^AmazonHelp</t>
        </is>
      </c>
      <c r="E5" s="32" t="inlineStr">
        <is>
          <t>[5, 5, 5, 5, 4]</t>
        </is>
      </c>
      <c r="F5" s="32" t="inlineStr">
        <is>
          <t>[5, 5, 4, 5, 5]</t>
        </is>
      </c>
      <c r="G5" s="31" t="inlineStr">
        <is>
          <t>Customer requests checking DM; agent provides clear, polite specialist escalation with direct message routing and secure handling.</t>
        </is>
      </c>
    </row>
    <row r="6" ht="42" customHeight="1">
      <c r="A6" s="30" t="n">
        <v>77408</v>
      </c>
      <c r="B6" s="40" t="inlineStr">
        <is>
          <t>Severe divergence (diff 4) | Escalation dispute (J:5 vs A:4) | Groundedness gap (J:5, A:2)</t>
        </is>
      </c>
      <c r="C6" s="31" t="inlineStr">
        <is>
          <t>@AmazonHelp Please don't buy any product from amazon , if all thing is smooth you don't feel anytging, but if a problem happened then you see real face of so called customer centric company amazon</t>
        </is>
      </c>
      <c r="D6" s="31" t="inlineStr">
        <is>
          <t>Thanks for reaching out to Amazon Support! For account-specific details, please review your status under 'Your Orders' or 'Your Account'. If you require further assistance, please provide your Order ID and we'll be glad to help. ^AmazonHelp</t>
        </is>
      </c>
      <c r="E6" s="32" t="inlineStr">
        <is>
          <t>[5, 5, 5, 5, 5]</t>
        </is>
      </c>
      <c r="F6" s="32" t="inlineStr">
        <is>
          <t>[1, 1, 2, 5, 4]</t>
        </is>
      </c>
      <c r="G6" s="31" t="inlineStr">
        <is>
          <t>Customer expresses severe complaint and brand distrust; canned generic template is tone-deaf, though channel policy is maintained.</t>
        </is>
      </c>
    </row>
    <row r="7" ht="42" customHeight="1">
      <c r="A7" s="30" t="n">
        <v>77535</v>
      </c>
      <c r="B7" s="40" t="inlineStr">
        <is>
          <t>Severe divergence (diff 3) | Escalation dispute (J:5 vs A:3) | Groundedness gap (J:5, A:2)</t>
        </is>
      </c>
      <c r="C7" s="31" t="inlineStr">
        <is>
          <t>@AmazonHelp It must be. I've had the same email address for years and I have tons of old order confirmations in my inbox.</t>
        </is>
      </c>
      <c r="D7" s="31" t="inlineStr">
        <is>
          <t>Thanks for reaching out to Amazon Support! For account-specific details, please review your status under 'Your Orders' or 'Your Account'. If you require further assistance, please provide your Order ID and we'll be glad to help. ^AmazonHelp</t>
        </is>
      </c>
      <c r="E7" s="32" t="inlineStr">
        <is>
          <t>[5, 5, 5, 5, 5]</t>
        </is>
      </c>
      <c r="F7" s="32" t="inlineStr">
        <is>
          <t>[2, 2, 2, 5, 3]</t>
        </is>
      </c>
      <c r="G7" s="31" t="inlineStr">
        <is>
          <t>Customer clarifies email and order confirmation history; canned account status reply does not address specific context of email history.</t>
        </is>
      </c>
    </row>
    <row r="8" ht="42" customHeight="1">
      <c r="A8" s="30" t="n">
        <v>95437</v>
      </c>
      <c r="B8" s="40" t="inlineStr">
        <is>
          <t>Moderate divergence (diff 2) | Groundedness gap (J:5, A:3)</t>
        </is>
      </c>
      <c r="C8" s="31" t="inlineStr">
        <is>
          <t>@AmazonHelp - It is really poor service or has your online chat support been hacked ?</t>
        </is>
      </c>
      <c r="D8" s="31" t="inlineStr">
        <is>
          <t>We take account security very seriously. Because this involves a potential security alert or unauthorized activity, I have escalated your report to our Account Security Specialists for immediate investigation. Please do NOT share sensitive information like passwords publicly. Please send us a Direct Message (DM) with your registered account email so we can take immediate protective action on your account. ^AmazonHelp</t>
        </is>
      </c>
      <c r="E8" s="32" t="inlineStr">
        <is>
          <t>[5, 5, 5, 5, 5]</t>
        </is>
      </c>
      <c r="F8" s="32" t="inlineStr">
        <is>
          <t>[5, 5, 3, 5, 5]</t>
        </is>
      </c>
      <c r="G8" s="31" t="inlineStr">
        <is>
          <t>Customer inquires about potential chat support security breach; agent properly initiates P0 escalation to Account Security Specialists.</t>
        </is>
      </c>
    </row>
    <row r="9" ht="42" customHeight="1">
      <c r="A9" s="30" t="n">
        <v>179265</v>
      </c>
      <c r="B9" s="40" t="inlineStr">
        <is>
          <t>Severe divergence (diff 4) | Escalation dispute (J:5 vs A:2) | Groundedness gap (J:5, A:2)</t>
        </is>
      </c>
      <c r="C9" s="31" t="inlineStr">
        <is>
          <t>@AmazonHelp En espérant cette fois avoir une réponse pertinente...</t>
        </is>
      </c>
      <c r="D9" s="31" t="inlineStr">
        <is>
          <t>Thanks for reaching out to Amazon Support! For account-specific details, please review your status under 'Your Orders' or 'Your Account'. If you require further assistance, please provide your Order ID and we'll be glad to help. ^AmazonHelp</t>
        </is>
      </c>
      <c r="E9" s="32" t="inlineStr">
        <is>
          <t>[5, 5, 5, 5, 5]</t>
        </is>
      </c>
      <c r="F9" s="32" t="inlineStr">
        <is>
          <t>[1, 1, 2, 5, 2]</t>
        </is>
      </c>
      <c r="G9" s="31" t="inlineStr">
        <is>
          <t>French query requesting a pertinent answer; agent sends generic English self-service template instead of responding in French or escalating.</t>
        </is>
      </c>
    </row>
    <row r="10" ht="42" customHeight="1">
      <c r="A10" s="30" t="n">
        <v>180800</v>
      </c>
      <c r="B10" s="40" t="inlineStr">
        <is>
          <t>Severe divergence (diff 4) | Escalation dispute (J:5 vs A:2) | Groundedness gap (J:5, A:2)</t>
        </is>
      </c>
      <c r="C10" s="31" t="inlineStr">
        <is>
          <t>@AmazonHelp No worries I've asked mr Jeff @115851 to do that Jeff here is the URL https://t.co/4wKCSmoFTW?amp=1</t>
        </is>
      </c>
      <c r="D10" s="31" t="inlineStr">
        <is>
          <t>Thanks for reaching out to Amazon Support! For account-specific details, please review your status under 'Your Orders' or 'Your Account'. If you require further assistance, please provide your Order ID and we'll be glad to help. ^AmazonHelp</t>
        </is>
      </c>
      <c r="E10" s="32" t="inlineStr">
        <is>
          <t>[5, 5, 5, 5, 5]</t>
        </is>
      </c>
      <c r="F10" s="32" t="inlineStr">
        <is>
          <t>[1, 1, 2, 5, 2]</t>
        </is>
      </c>
      <c r="G10" s="31" t="inlineStr">
        <is>
          <t>Customer shares URL to executive handle; generic order status response is irrelevant to the context of the tweet.</t>
        </is>
      </c>
    </row>
    <row r="11" ht="42" customHeight="1">
      <c r="A11" s="30" t="n">
        <v>234555</v>
      </c>
      <c r="B11" s="40" t="inlineStr">
        <is>
          <t>Severe divergence (diff 4) | Escalation dispute (J:5 vs A:2) | Groundedness gap (J:5, A:2)</t>
        </is>
      </c>
      <c r="C11" s="31" t="inlineStr">
        <is>
          <t>What a discount, @115850. https://t.co/9rOKTidmrp</t>
        </is>
      </c>
      <c r="D11" s="31" t="inlineStr">
        <is>
          <t>Thanks for reaching out to Amazon Support! For account-specific details, please review your status under 'Your Orders' or 'Your Account'. If you require further assistance, please provide your Order ID and we'll be glad to help. ^AmazonHelp</t>
        </is>
      </c>
      <c r="E11" s="32" t="inlineStr">
        <is>
          <t>[5, 5, 5, 5, 5]</t>
        </is>
      </c>
      <c r="F11" s="32" t="inlineStr">
        <is>
          <t>[1, 1, 2, 5, 2]</t>
        </is>
      </c>
      <c r="G11" s="31" t="inlineStr">
        <is>
          <t>Customer shares promotional deal link/screenshot; generic order tracking canned text does not address the promotion context.</t>
        </is>
      </c>
    </row>
    <row r="12" ht="42" customHeight="1">
      <c r="A12" s="30" t="n">
        <v>258713</v>
      </c>
      <c r="B12" s="40" t="inlineStr">
        <is>
          <t>Severe divergence (diff 4) | Escalation dispute (J:5 vs A:2) | Groundedness gap (J:5, A:2)</t>
        </is>
      </c>
      <c r="C12" s="31" t="inlineStr">
        <is>
          <t>@AmazonHelp Dear Amazon, please don't try to understand "my concern"!
Please post my review to help ur innocent customers.
#ScamAtAmazon
#Day48</t>
        </is>
      </c>
      <c r="D12" s="31" t="inlineStr">
        <is>
          <t>Thanks for reaching out to Amazon Support! For account-specific details, please review your status under 'Your Orders' or 'Your Account'. If you require further assistance, please provide your Order ID and we'll be glad to help. ^AmazonHelp</t>
        </is>
      </c>
      <c r="E12" s="32" t="inlineStr">
        <is>
          <t>[5, 5, 5, 5, 5]</t>
        </is>
      </c>
      <c r="F12" s="32" t="inlineStr">
        <is>
          <t>[1, 1, 2, 5, 2]</t>
        </is>
      </c>
      <c r="G12" s="31" t="inlineStr">
        <is>
          <t>Customer alleging scam and demanding review post; canned self-service order text misses the review posting complaint entirely.</t>
        </is>
      </c>
    </row>
    <row r="13" ht="42" customHeight="1">
      <c r="A13" s="30" t="n">
        <v>291347</v>
      </c>
      <c r="B13" s="40" t="inlineStr">
        <is>
          <t>Severe divergence (diff 4) | Escalation dispute (J:5 vs A:2) | Groundedness gap (J:5, A:2)</t>
        </is>
      </c>
      <c r="C13" s="31" t="inlineStr">
        <is>
          <t>@AmazonHelp If you are unable to check in your back-end &amp;amp; have no access to it, why bother to solve? Let @115850 turn bankrupt. Customer isn't imp 4 u</t>
        </is>
      </c>
      <c r="D13" s="31" t="inlineStr">
        <is>
          <t>Thanks for reaching out to Amazon Support! For account-specific details, please review your status under 'Your Orders' or 'Your Account'. If you require further assistance, please provide your Order ID and we'll be glad to help. ^AmazonHelp</t>
        </is>
      </c>
      <c r="E13" s="32" t="inlineStr">
        <is>
          <t>[5, 5, 5, 5, 5]</t>
        </is>
      </c>
      <c r="F13" s="32" t="inlineStr">
        <is>
          <t>[1, 1, 2, 5, 2]</t>
        </is>
      </c>
      <c r="G13" s="31" t="inlineStr">
        <is>
          <t>Customer frustrated about back-end support access; generic self-service canned response repeats the unhelpful pattern.</t>
        </is>
      </c>
    </row>
    <row r="14" ht="42" customHeight="1">
      <c r="A14" s="30" t="n">
        <v>379700</v>
      </c>
      <c r="B14" s="40" t="inlineStr">
        <is>
          <t>Severe divergence (diff 4) | Escalation dispute (J:5 vs A:1) | Groundedness gap (J:5, A:2)</t>
        </is>
      </c>
      <c r="C14" s="31" t="inlineStr">
        <is>
          <t>@AmazonHelp c'est quoi votre secret pour être aussi bien?
(en vrai y'a aucun problème, c'est juste que j'attend mon colis et il devrait pas tarder :&amp;gt; )</t>
        </is>
      </c>
      <c r="D14" s="31" t="inlineStr">
        <is>
          <t>Bonjour, merci de contacter le support Amazon. Nous sommes désolés pour ce désagrément. Votre demande nécessite une intervention manuelle de notre équipe. Merci de nous transmettre votre numéro de commande par message privé. ^AmazonHelp</t>
        </is>
      </c>
      <c r="E14" s="32" t="inlineStr">
        <is>
          <t>[5, 3, 5, 5, 5]</t>
        </is>
      </c>
      <c r="F14" s="32" t="inlineStr">
        <is>
          <t>[1, 1, 2, 5, 1]</t>
        </is>
      </c>
      <c r="G14" s="31" t="inlineStr">
        <is>
          <t>French positive banter ('what is your secret to being so good?'); agent mistakenly escalated with apology and requested order number in French.</t>
        </is>
      </c>
    </row>
    <row r="15" ht="42" customHeight="1">
      <c r="A15" s="30" t="n">
        <v>379788</v>
      </c>
      <c r="B15" s="40" t="inlineStr">
        <is>
          <t>Severe divergence (diff 4) | Escalation dispute (J:5 vs A:2) | Groundedness gap (J:5, A:2)</t>
        </is>
      </c>
      <c r="C15" s="31" t="inlineStr">
        <is>
          <t>@115850 @115821 Recd. the wrong Item, This is not expected from you, 1st pic is what I had ordered, and second pic what I had received.. https://t.co/McMfQ2ZdRb</t>
        </is>
      </c>
      <c r="D15" s="31" t="inlineStr">
        <is>
          <t>Thanks for reaching out to Amazon Support! For account-specific details, please review your status under 'Your Orders' or 'Your Account'. If you require further assistance, please provide your Order ID and we'll be glad to help. ^AmazonHelp</t>
        </is>
      </c>
      <c r="E15" s="32" t="inlineStr">
        <is>
          <t>[5, 5, 5, 5, 5]</t>
        </is>
      </c>
      <c r="F15" s="32" t="inlineStr">
        <is>
          <t>[1, 1, 2, 5, 2]</t>
        </is>
      </c>
      <c r="G15" s="31" t="inlineStr">
        <is>
          <t>Customer received wrong item with photo proof; generic self-service text fails to provide replacement or return instructions.</t>
        </is>
      </c>
    </row>
    <row r="16" ht="42" customHeight="1">
      <c r="A16" s="30" t="n">
        <v>498538</v>
      </c>
      <c r="B16" s="40" t="inlineStr">
        <is>
          <t>Severe divergence (diff 4) | Escalation dispute (J:5 vs A:1) | Groundedness gap (J:5, A:1)</t>
        </is>
      </c>
      <c r="C16" s="31" t="inlineStr">
        <is>
          <t>@AmazonHelp i just expect it to be here on the date that it initially says it going to arrive? i ordered it last minute which is a fault in my behalf but if your unique selling point is a monthly subscription for next day delivery surely that should be carried out? i won’t need this item on-</t>
        </is>
      </c>
      <c r="D16" s="31" t="inlineStr">
        <is>
          <t>You can view, update, or cancel your Prime subscription settings at any time by visiting 'Your Account' &gt; 'Prime' &gt; 'Manage Membership'. If you choose to end your membership and have not used any Prime benefits during the billing cycle, you may be eligible for a full refund. Let us know if you have questions regarding a specific charge! ^AmazonHelp</t>
        </is>
      </c>
      <c r="E16" s="32" t="inlineStr">
        <is>
          <t>[5, 5, 5, 5, 5]</t>
        </is>
      </c>
      <c r="F16" s="32" t="inlineStr">
        <is>
          <t>[1, 1, 1, 5, 1]</t>
        </is>
      </c>
      <c r="G16" s="31" t="inlineStr">
        <is>
          <t>Customer complaining about late next-day Prime delivery; agent erroneously outputs Prime subscription cancellation/refund instructions.</t>
        </is>
      </c>
    </row>
    <row r="17" ht="42" customHeight="1">
      <c r="A17" s="30" t="n">
        <v>508166</v>
      </c>
      <c r="B17" s="40" t="inlineStr">
        <is>
          <t>Severe divergence (diff 4) | Escalation dispute (J:5 vs A:2) | Groundedness gap (J:5, A:2)</t>
        </is>
      </c>
      <c r="C17" s="31" t="inlineStr">
        <is>
          <t>Errr....this was not what I ordered @115830 😺🐱🐈 https://t.co/f4VJmAw2eE</t>
        </is>
      </c>
      <c r="D17" s="31" t="inlineStr">
        <is>
          <t>Thanks for reaching out to Amazon Support! For account-specific details, please review your status under 'Your Orders' or 'Your Account'. If you require further assistance, please provide your Order ID and we'll be glad to help. ^AmazonHelp</t>
        </is>
      </c>
      <c r="E17" s="32" t="inlineStr">
        <is>
          <t>[5, 5, 5, 5, 5]</t>
        </is>
      </c>
      <c r="F17" s="32" t="inlineStr">
        <is>
          <t>[1, 1, 2, 5, 2]</t>
        </is>
      </c>
      <c r="G17" s="31" t="inlineStr">
        <is>
          <t>Customer complaining with photo about wrong item received; generic order tracking reply ignores wrong item replacement.</t>
        </is>
      </c>
    </row>
    <row r="18" ht="42" customHeight="1">
      <c r="A18" s="30" t="n">
        <v>532639</v>
      </c>
      <c r="B18" s="40" t="inlineStr">
        <is>
          <t>Severe divergence (diff 4) | Escalation dispute (J:5 vs A:1) | Groundedness gap (J:5, A:1)</t>
        </is>
      </c>
      <c r="C18" s="31" t="inlineStr">
        <is>
          <t>@AmazonHelp Schade. Da bin ich immer neugierig 😁</t>
        </is>
      </c>
      <c r="D18" s="31" t="inlineStr">
        <is>
          <t>Thanks for reaching out to Amazon Support! For account-specific details, please review your status under 'Your Orders' or 'Your Account'. If you require further assistance, please provide your Order ID and we'll be glad to help. ^AmazonHelp</t>
        </is>
      </c>
      <c r="E18" s="32" t="inlineStr">
        <is>
          <t>[5, 5, 5, 5, 5]</t>
        </is>
      </c>
      <c r="F18" s="32" t="inlineStr">
        <is>
          <t>[1, 1, 1, 5, 1]</t>
        </is>
      </c>
      <c r="G18" s="31" t="inlineStr">
        <is>
          <t>German conversational banter ('Schade. Da bin ich immer neugierig'); agent sends generic English order tracking response.</t>
        </is>
      </c>
    </row>
    <row r="19" ht="42" customHeight="1">
      <c r="A19" s="30" t="n">
        <v>649952</v>
      </c>
      <c r="B19" s="40" t="inlineStr">
        <is>
          <t>Severe divergence (diff 4) | Escalation dispute (J:4 vs A:1) | Groundedness gap (J:5, A:1)</t>
        </is>
      </c>
      <c r="C19" s="31" t="inlineStr">
        <is>
          <t>Amazonで別日に注文したやつが、一緒の段ボールにはいって送られて来て感動した</t>
        </is>
      </c>
      <c r="D19" s="31"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E19" s="32" t="inlineStr">
        <is>
          <t>[5, 3, 5, 5, 4]</t>
        </is>
      </c>
      <c r="F19" s="32" t="inlineStr">
        <is>
          <t>[1, 1, 1, 5, 1]</t>
        </is>
      </c>
      <c r="G19" s="31" t="inlineStr">
        <is>
          <t>Japanese customer expressing delight that separate orders arrived in one box; agent inappropriately apologizes for inconvenience and requests DM.</t>
        </is>
      </c>
    </row>
    <row r="20" ht="42" customHeight="1">
      <c r="A20" s="30" t="n">
        <v>679078</v>
      </c>
      <c r="B20" s="40" t="inlineStr">
        <is>
          <t>Severe divergence (diff 4) | Escalation dispute (J:4 vs A:1) | Groundedness gap (J:5, A:1)</t>
        </is>
      </c>
      <c r="C20" s="31" t="inlineStr">
        <is>
          <t>初Amazon。
自動遮光カートリッジが安かった。</t>
        </is>
      </c>
      <c r="D20" s="31"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E20" s="32" t="inlineStr">
        <is>
          <t>[5, 3, 5, 5, 4]</t>
        </is>
      </c>
      <c r="F20" s="32" t="inlineStr">
        <is>
          <t>[1, 1, 1, 5, 1]</t>
        </is>
      </c>
      <c r="G20" s="31" t="inlineStr">
        <is>
          <t>Japanese customer sharing positive purchase experience (cheap welding cartridge); agent inappropriately apologizes and requests order number.</t>
        </is>
      </c>
    </row>
    <row r="21" ht="42" customHeight="1">
      <c r="A21" s="30" t="n">
        <v>701334</v>
      </c>
      <c r="B21" s="40" t="inlineStr">
        <is>
          <t>Severe divergence (diff 4) | Escalation dispute (J:5 vs A:1) | Groundedness gap (J:5, A:1)</t>
        </is>
      </c>
      <c r="C21" s="31" t="inlineStr">
        <is>
          <t>@115830 my prime now order said it wasn’t able to be delivered but I’ve been at home and had my phone on all this time. No call or attempt to contact.</t>
        </is>
      </c>
      <c r="D21" s="31" t="inlineStr">
        <is>
          <t>You can view, update, or cancel your Prime subscription settings at any time by visiting 'Your Account' &gt; 'Prime' &gt; 'Manage Membership'. If you choose to end your membership and have not used any Prime benefits during the billing cycle, you may be eligible for a full refund. Let us know if you have questions regarding a specific charge! ^AmazonHelp</t>
        </is>
      </c>
      <c r="E21" s="32" t="inlineStr">
        <is>
          <t>[5, 5, 5, 5, 5]</t>
        </is>
      </c>
      <c r="F21" s="32" t="inlineStr">
        <is>
          <t>[1, 1, 1, 5, 1]</t>
        </is>
      </c>
      <c r="G21" s="31" t="inlineStr">
        <is>
          <t>Customer complaining Prime Now failed delivery while at home; agent irrelevantly provides Prime subscription cancellation advice.</t>
        </is>
      </c>
    </row>
    <row r="22" ht="42" customHeight="1">
      <c r="A22" s="30" t="n">
        <v>909507</v>
      </c>
      <c r="B22" s="40" t="inlineStr">
        <is>
          <t>Escalation dispute (J:4 vs A:5)</t>
        </is>
      </c>
      <c r="C22" s="31" t="inlineStr">
        <is>
          <t>@AmazonHelp kindly check DM Team</t>
        </is>
      </c>
      <c r="D22" s="31" t="inlineStr">
        <is>
          <t>I apologize for the inconvenience you are experiencing. To ensure this is handled thoroughly and accurately, I've flagged your inquiry for review by a customer support specialist. Please send us a Direct Message (DM) with any relevant order numbers so an agent can assist you directly. ^AmazonHelp</t>
        </is>
      </c>
      <c r="E22" s="32" t="inlineStr">
        <is>
          <t>[5, 5, 5, 5, 4]</t>
        </is>
      </c>
      <c r="F22" s="32" t="inlineStr">
        <is>
          <t>[5, 5, 4, 5, 5]</t>
        </is>
      </c>
      <c r="G22" s="31" t="inlineStr">
        <is>
          <t>Customer asking team to check DM; agent appropriately apologizes, flags for specialist review, and guides DM communication.</t>
        </is>
      </c>
    </row>
    <row r="23" ht="42" customHeight="1">
      <c r="A23" s="30" t="n">
        <v>944251</v>
      </c>
      <c r="B23" s="40" t="inlineStr">
        <is>
          <t>Severe divergence (diff 4) | Escalation dispute (J:5 vs A:1) | Groundedness gap (J:5, A:2)</t>
        </is>
      </c>
      <c r="C23" s="31" t="inlineStr">
        <is>
          <t>@AmazonHelp Done.</t>
        </is>
      </c>
      <c r="D23" s="31" t="inlineStr">
        <is>
          <t>Thanks for reaching out to Amazon Support! For account-specific details, please review your status under 'Your Orders' or 'Your Account'. If you require further assistance, please provide your Order ID and we'll be glad to help. ^AmazonHelp</t>
        </is>
      </c>
      <c r="E23" s="32" t="inlineStr">
        <is>
          <t>[5, 5, 5, 5, 5]</t>
        </is>
      </c>
      <c r="F23" s="32" t="inlineStr">
        <is>
          <t>[1, 1, 2, 5, 1]</t>
        </is>
      </c>
      <c r="G23" s="31" t="inlineStr">
        <is>
          <t>Customer says 'Done.'; agent responds with generic self-service order tracking instead of acknowledging completion or continuing thread.</t>
        </is>
      </c>
    </row>
    <row r="24" ht="42" customHeight="1">
      <c r="A24" s="30" t="n">
        <v>947686</v>
      </c>
      <c r="B24" s="40" t="inlineStr">
        <is>
          <t>Severe divergence (diff 4) | Escalation dispute (J:5 vs A:2) | Groundedness gap (J:5, A:2)</t>
        </is>
      </c>
      <c r="C24" s="31" t="inlineStr">
        <is>
          <t>@115850 @AmazonHelp why you send me the ordered product after expected date of delivery most of the time.Also send me expired product</t>
        </is>
      </c>
      <c r="D24" s="31" t="inlineStr">
        <is>
          <t>Thanks for reaching out to Amazon Support! For account-specific details, please review your status under 'Your Orders' or 'Your Account'. If you require further assistance, please provide your Order ID and we'll be glad to help. ^AmazonHelp</t>
        </is>
      </c>
      <c r="E24" s="32" t="inlineStr">
        <is>
          <t>[5, 5, 5, 5, 5]</t>
        </is>
      </c>
      <c r="F24" s="32" t="inlineStr">
        <is>
          <t>[1, 1, 2, 5, 2]</t>
        </is>
      </c>
      <c r="G24" s="31" t="inlineStr">
        <is>
          <t>Customer complaining of repeated late delivery and expired product; generic order status reply ignores serious expired product complaint.</t>
        </is>
      </c>
    </row>
    <row r="25" ht="42" customHeight="1">
      <c r="A25" s="30" t="n">
        <v>984200</v>
      </c>
      <c r="B25" s="40" t="inlineStr">
        <is>
          <t>Moderate divergence (diff 2) | Escalation dispute (J:5 vs A:3) | Groundedness gap (J:5, A:3)</t>
        </is>
      </c>
      <c r="C25" s="31" t="inlineStr">
        <is>
          <t>@AmazonHelp This is not an issue with the book (although Amazon could look into splitting this into 2 pages?) but with Kindle for PC.</t>
        </is>
      </c>
      <c r="D25" s="31" t="inlineStr">
        <is>
          <t>For issues with digital content or Amazon devices (such as Fire TV, Kindle, or Echo), we recommend restarting the device and checking your network connection. If using an app, ensuring the app is updated to the latest version and clearing its cache often resolves playback errors. If the issue persists, please let us know which device model you are using! ^AmazonHelp</t>
        </is>
      </c>
      <c r="E25" s="32" t="inlineStr">
        <is>
          <t>[5, 3, 5, 5, 5]</t>
        </is>
      </c>
      <c r="F25" s="32" t="inlineStr">
        <is>
          <t>[5, 4, 3, 5, 3]</t>
        </is>
      </c>
      <c r="G25" s="31" t="inlineStr">
        <is>
          <t>Customer reporting Kindle for PC formatting issue; agent provides relevant digital/Kindle troubleshooting steps.</t>
        </is>
      </c>
    </row>
    <row r="26" ht="42" customHeight="1">
      <c r="A26" s="30" t="n">
        <v>1113514</v>
      </c>
      <c r="B26" s="40" t="inlineStr">
        <is>
          <t>Severe divergence (diff 4) | Escalation dispute (J:5 vs A:1) | Groundedness gap (J:5, A:1)</t>
        </is>
      </c>
      <c r="C26" s="31" t="inlineStr">
        <is>
          <t>#amazongreatindianfestival #amazonindia #amazonhelp https://t.co/ygj24zMsKa</t>
        </is>
      </c>
      <c r="D26" s="31" t="inlineStr">
        <is>
          <t>Thanks for reaching out to Amazon Support! For account-specific details, please review your status under 'Your Orders' or 'Your Account'. If you require further assistance, please provide your Order ID and we'll be glad to help. ^AmazonHelp</t>
        </is>
      </c>
      <c r="E26" s="32" t="inlineStr">
        <is>
          <t>[5, 5, 5, 5, 5]</t>
        </is>
      </c>
      <c r="F26" s="32" t="inlineStr">
        <is>
          <t>[1, 1, 1, 5, 1]</t>
        </is>
      </c>
      <c r="G26" s="31" t="inlineStr">
        <is>
          <t>Customer posting promotional image/hashtag; agent responds with generic order status advice.</t>
        </is>
      </c>
    </row>
    <row r="27" ht="42" customHeight="1">
      <c r="A27" s="30" t="n">
        <v>1300626</v>
      </c>
      <c r="B27" s="40" t="inlineStr">
        <is>
          <t>Severe divergence (diff 4) | Escalation dispute (J:5 vs A:2) | Groundedness gap (J:5, A:2)</t>
        </is>
      </c>
      <c r="C27" s="31" t="inlineStr">
        <is>
          <t>You have some neat ideas on what 'one day shipping' is, @AmazonHelp Can you please send me a link to your online chat since I can't find it. https://t.co/25rnQVQssi</t>
        </is>
      </c>
      <c r="D27" s="31" t="inlineStr">
        <is>
          <t>Thanks for reaching out to Amazon Support! For account-specific details, please review your status under 'Your Orders' or 'Your Account'. If you require further assistance, please provide your Order ID and we'll be glad to help. ^AmazonHelp</t>
        </is>
      </c>
      <c r="E27" s="32" t="inlineStr">
        <is>
          <t>[5, 5, 5, 5, 5]</t>
        </is>
      </c>
      <c r="F27" s="32" t="inlineStr">
        <is>
          <t>[1, 1, 2, 5, 2]</t>
        </is>
      </c>
      <c r="G27" s="31" t="inlineStr">
        <is>
          <t>Customer asking for link to online chat regarding 1-day shipping; generic order status response fails to provide chat link or direct help.</t>
        </is>
      </c>
    </row>
    <row r="28" ht="42" customHeight="1">
      <c r="A28" s="30" t="n">
        <v>1313039</v>
      </c>
      <c r="B28" s="40" t="inlineStr">
        <is>
          <t>Severe divergence (diff 4) | Escalation dispute (J:5 vs A:1) | Groundedness gap (J:5, A:2)</t>
        </is>
      </c>
      <c r="C28" s="31" t="inlineStr">
        <is>
          <t>Pray @115830 leave my parcel with a neighbour I need my new coffee machine!!!!☕️☕️☕️</t>
        </is>
      </c>
      <c r="D28" s="31" t="inlineStr">
        <is>
          <t>Thanks for reaching out to Amazon Support! For account-specific details, please review your status under 'Your Orders' or 'Your Account'. If you require further assistance, please provide your Order ID and we'll be glad to help. ^AmazonHelp</t>
        </is>
      </c>
      <c r="E28" s="32" t="inlineStr">
        <is>
          <t>[5, 5, 5, 5, 5]</t>
        </is>
      </c>
      <c r="F28" s="32" t="inlineStr">
        <is>
          <t>[1, 1, 2, 5, 1]</t>
        </is>
      </c>
      <c r="G28" s="31" t="inlineStr">
        <is>
          <t>Customer praying parcel is left with neighbor for coffee machine; generic order status response misses the delivery instruction context.</t>
        </is>
      </c>
    </row>
    <row r="29" ht="42" customHeight="1">
      <c r="A29" s="30" t="n">
        <v>1362458</v>
      </c>
      <c r="B29" s="40" t="inlineStr">
        <is>
          <t>Severe divergence (diff 4) | Escalation dispute (J:5 vs A:2) | Groundedness gap (J:5, A:2)</t>
        </is>
      </c>
      <c r="C29" s="31" t="inlineStr">
        <is>
          <t>@AmazonHelp Hi JP, it was AMZL US. Also this was the second time this has happened with our apartment within the last couple of weeks.</t>
        </is>
      </c>
      <c r="D29" s="31" t="inlineStr">
        <is>
          <t>Thanks for reaching out to Amazon Support! For account-specific details, please review your status under 'Your Orders' or 'Your Account'. If you require further assistance, please provide your Order ID and we'll be glad to help. ^AmazonHelp</t>
        </is>
      </c>
      <c r="E29" s="32" t="inlineStr">
        <is>
          <t>[5, 5, 5, 5, 5]</t>
        </is>
      </c>
      <c r="F29" s="32" t="inlineStr">
        <is>
          <t>[1, 1, 2, 5, 2]</t>
        </is>
      </c>
      <c r="G29" s="31" t="inlineStr">
        <is>
          <t>Customer answering carrier clarification (AMZL US recurring issue); generic order status template ignores the carrier logistics feedback.</t>
        </is>
      </c>
    </row>
    <row r="30" ht="42" customHeight="1">
      <c r="A30" s="30" t="n">
        <v>1382396</v>
      </c>
      <c r="B30" s="40" t="inlineStr">
        <is>
          <t>Severe divergence (diff 4) | Escalation dispute (J:5 vs A:1) | Groundedness gap (J:5, A:1)</t>
        </is>
      </c>
      <c r="C30" s="31" t="inlineStr">
        <is>
          <t>After ringing the @115830 Customer Service team in regards to my order, I am told to allow a further week for delivery as 'ordering a replacement would take longer'. If you did truly care about your customers, you could have a parcel delivered tomorrow if you really wanted.</t>
        </is>
      </c>
      <c r="D30" s="31" t="inlineStr">
        <is>
          <t>To return or exchange an item, please visit our Online Returns Center by going to 'Your Orders' &gt; 'Return or replace items'. You can choose your preferred return method and print a prepaid return label. Once the item is received at our fulfilment centre, refunds are typically processed within 3 to 5 business days. Let us know if you need help with a specific order ID! ^AmazonHelp</t>
        </is>
      </c>
      <c r="E30" s="32" t="inlineStr">
        <is>
          <t>[5, 5, 5, 5, 5]</t>
        </is>
      </c>
      <c r="F30" s="32" t="inlineStr">
        <is>
          <t>[1, 1, 1, 5, 1]</t>
        </is>
      </c>
      <c r="G30" s="31" t="inlineStr">
        <is>
          <t>Customer venting about phone CS delay on delivery replacement; agent erroneously gives Online Returns Center refund instructions instead of addressing replacement delay.</t>
        </is>
      </c>
    </row>
    <row r="31" ht="42" customHeight="1">
      <c r="A31" s="30" t="n">
        <v>1572905</v>
      </c>
      <c r="B31" s="40" t="inlineStr">
        <is>
          <t>Severe divergence (diff 4) | Escalation dispute (J:5 vs A:2) | Groundedness gap (J:5, A:2)</t>
        </is>
      </c>
      <c r="C31" s="31" t="inlineStr">
        <is>
          <t>@115850 It’s all a scam as price reverts to original on check out guys. Check delivery chargers can be double the price of product.</t>
        </is>
      </c>
      <c r="D31" s="31" t="inlineStr">
        <is>
          <t>Thanks for reaching out to Amazon Support! For account-specific details, please review your status under 'Your Orders' or 'Your Account'. If you require further assistance, please provide your Order ID and we'll be glad to help. ^AmazonHelp</t>
        </is>
      </c>
      <c r="E31" s="32" t="inlineStr">
        <is>
          <t>[5, 5, 5, 5, 5]</t>
        </is>
      </c>
      <c r="F31" s="32" t="inlineStr">
        <is>
          <t>[1, 1, 2, 5, 2]</t>
        </is>
      </c>
      <c r="G31" s="31" t="inlineStr">
        <is>
          <t>Customer alleging scam regarding price change and delivery charges at checkout; generic self-service reply ignores billing/checkout complaint.</t>
        </is>
      </c>
    </row>
    <row r="32" ht="42" customHeight="1">
      <c r="A32" s="30" t="n">
        <v>1691622</v>
      </c>
      <c r="B32" s="40" t="inlineStr">
        <is>
          <t>Severe divergence (diff 4) | Escalation dispute (J:5 vs A:2) | Groundedness gap (J:5, A:1)</t>
        </is>
      </c>
      <c r="C32" s="31" t="inlineStr">
        <is>
          <t>@207103 @AmazonHelp all are fake. above all people's r who never won. No winners tweets here so where are they? fake ids mentioned in winners list. Fake 4 sure.</t>
        </is>
      </c>
      <c r="D32" s="31" t="inlineStr">
        <is>
          <t>Thanks for reaching out to Amazon Support! For account-specific details, please review your status under 'Your Orders' or 'Your Account'. If you require further assistance, please provide your Order ID and we'll be glad to help. ^AmazonHelp</t>
        </is>
      </c>
      <c r="E32" s="32" t="inlineStr">
        <is>
          <t>[5, 5, 5, 5, 5]</t>
        </is>
      </c>
      <c r="F32" s="32" t="inlineStr">
        <is>
          <t>[1, 1, 1, 5, 2]</t>
        </is>
      </c>
      <c r="G32" s="31" t="inlineStr">
        <is>
          <t>Customer complaining contest winners list is fake; generic order status reply is completely unrelated to contest inquiry.</t>
        </is>
      </c>
    </row>
    <row r="33" ht="42" customHeight="1">
      <c r="A33" s="30" t="n">
        <v>1764531</v>
      </c>
      <c r="B33" s="40" t="inlineStr">
        <is>
          <t>Moderate divergence (diff 2) | Groundedness gap (J:5, A:3)</t>
        </is>
      </c>
      <c r="C33" s="31" t="inlineStr">
        <is>
          <t>Hola @116928 estoy teniendo problemas con mi cuenta a la hora de hacer un pedido porque me habéis bloqueado mi cuenta, ¿me podéis ayudar?</t>
        </is>
      </c>
      <c r="D33" s="31" t="inlineStr">
        <is>
          <t>Hola, gracias por contactar con Amazon. Sentimos las molestias ocasionadas. Para poder revisar este caso a fondo, un agente especializado tomará el caso. Por favor facilítanos el número de pedido por mensaje privado. ^AmazonHelp</t>
        </is>
      </c>
      <c r="E33" s="32" t="inlineStr">
        <is>
          <t>[5, 3, 5, 5, 5]</t>
        </is>
      </c>
      <c r="F33" s="32" t="inlineStr">
        <is>
          <t>[5, 4, 3, 5, 5]</t>
        </is>
      </c>
      <c r="G33" s="31" t="inlineStr">
        <is>
          <t>Spanish customer locked out of account while ordering; agent appropriately escalates in Spanish to specialized agent via private message.</t>
        </is>
      </c>
    </row>
    <row r="34" ht="42" customHeight="1">
      <c r="A34" s="30" t="n">
        <v>1829432</v>
      </c>
      <c r="B34" s="40" t="inlineStr">
        <is>
          <t>Severe divergence (diff 4) | Escalation dispute (J:5 vs A:2) | Groundedness gap (J:5, A:2)</t>
        </is>
      </c>
      <c r="C34" s="31" t="inlineStr">
        <is>
          <t>@AmazonHelp I just had a foot surgery and bought a few items that would make me more comfortable and there still not here</t>
        </is>
      </c>
      <c r="D34" s="31" t="inlineStr">
        <is>
          <t>Thanks for reaching out to Amazon Support! For account-specific details, please review your status under 'Your Orders' or 'Your Account'. If you require further assistance, please provide your Order ID and we'll be glad to help. ^AmazonHelp</t>
        </is>
      </c>
      <c r="E34" s="32" t="inlineStr">
        <is>
          <t>[5, 5, 5, 5, 5]</t>
        </is>
      </c>
      <c r="F34" s="32" t="inlineStr">
        <is>
          <t>[1, 1, 2, 5, 2]</t>
        </is>
      </c>
      <c r="G34" s="31" t="inlineStr">
        <is>
          <t>Customer recovering from surgery complaining items haven't arrived; generic self-service order check lacks empathy and proactive logistics check.</t>
        </is>
      </c>
    </row>
    <row r="35" ht="42" customHeight="1">
      <c r="A35" s="30" t="n">
        <v>2126759</v>
      </c>
      <c r="B35" s="40" t="inlineStr">
        <is>
          <t>Severe divergence (diff 3) | Escalation dispute (J:5 vs A:2) | Groundedness gap (J:5, A:3)</t>
        </is>
      </c>
      <c r="C35" s="31" t="inlineStr">
        <is>
          <t>@AmazonHelp Hi there. I have two orders that were meant to arrive by 2nd November. Are you able to check and see whats going on? Thanks!</t>
        </is>
      </c>
      <c r="D35" s="31" t="inlineStr">
        <is>
          <t>Thanks for reaching out to Amazon Support! For account-specific details, please review your status under 'Your Orders' or 'Your Account'. If you require further assistance, please provide your Order ID and we'll be glad to help. ^AmazonHelp</t>
        </is>
      </c>
      <c r="E35" s="32" t="inlineStr">
        <is>
          <t>[5, 5, 5, 5, 5]</t>
        </is>
      </c>
      <c r="F35" s="32" t="inlineStr">
        <is>
          <t>[4, 3, 3, 5, 2]</t>
        </is>
      </c>
      <c r="G35" s="31" t="inlineStr">
        <is>
          <t>Customer asking to check status of two overdue orders; generic self-service order tracking response is partially helpful but fails to offer direct DM check.</t>
        </is>
      </c>
    </row>
    <row r="36" ht="42" customHeight="1">
      <c r="A36" s="30" t="n">
        <v>2184761</v>
      </c>
      <c r="B36" s="40" t="inlineStr">
        <is>
          <t>Severe divergence (diff 4) | Escalation dispute (J:5 vs A:2) | Groundedness gap (J:5, A:1)</t>
        </is>
      </c>
      <c r="C36" s="31" t="inlineStr">
        <is>
          <t>hey @115850 does the Echo Plus in India come with a Hue bulb included?</t>
        </is>
      </c>
      <c r="D36" s="31" t="inlineStr">
        <is>
          <t>For issues with digital content or Amazon devices (such as Fire TV, Kindle, or Echo), we recommend restarting the device and checking your network connection. If using an app, ensuring the app is updated to the latest version and clearing its cache often resolves playback errors. If the issue persists, please let us know which device model you are using! ^AmazonHelp</t>
        </is>
      </c>
      <c r="E36" s="32" t="inlineStr">
        <is>
          <t>[5, 3, 5, 5, 5]</t>
        </is>
      </c>
      <c r="F36" s="32" t="inlineStr">
        <is>
          <t>[1, 1, 1, 5, 2]</t>
        </is>
      </c>
      <c r="G36" s="31" t="inlineStr">
        <is>
          <t>Customer asking product specification question about Echo Plus bundling; agent gives irrelevant device troubleshooting/reboot instructions.</t>
        </is>
      </c>
    </row>
    <row r="37" ht="42" customHeight="1">
      <c r="A37" s="30" t="n">
        <v>2254381</v>
      </c>
      <c r="B37" s="40" t="inlineStr">
        <is>
          <t>Severe divergence (diff 4) | Escalation dispute (J:5 vs A:2) | Groundedness gap (J:5, A:1)</t>
        </is>
      </c>
      <c r="C37" s="31" t="inlineStr">
        <is>
          <t>@AmazonHelp Dizem que o ZIP (codigo postal) não corresponde ao ''State''</t>
        </is>
      </c>
      <c r="D37" s="31" t="inlineStr">
        <is>
          <t>Thanks for reaching out to Amazon Support! For account-specific details, please review your status under 'Your Orders' or 'Your Account'. If you require further assistance, please provide your Order ID and we'll be glad to help. ^AmazonHelp</t>
        </is>
      </c>
      <c r="E37" s="32" t="inlineStr">
        <is>
          <t>[5, 5, 5, 5, 5]</t>
        </is>
      </c>
      <c r="F37" s="32" t="inlineStr">
        <is>
          <t>[1, 1, 1, 5, 2]</t>
        </is>
      </c>
      <c r="G37" s="31" t="inlineStr">
        <is>
          <t>Portuguese customer reporting postal code/state mismatch error; agent gives generic English order status template.</t>
        </is>
      </c>
    </row>
    <row r="38" ht="42" customHeight="1">
      <c r="A38" s="30" t="n">
        <v>2465040</v>
      </c>
      <c r="B38" s="40" t="inlineStr">
        <is>
          <t>Severe divergence (diff 4) | Escalation dispute (J:5 vs A:1) | Groundedness gap (J:5, A:1)</t>
        </is>
      </c>
      <c r="C38" s="31" t="inlineStr">
        <is>
          <t>@AmazonHelp A ver si entre todo el amor también os sobra una Switch, que mis followers son unos desagradecidos y no me regalan ni una foto de la Switch... &amp;lt;3 &amp;lt;3 &amp;lt;3</t>
        </is>
      </c>
      <c r="D38" s="31" t="inlineStr">
        <is>
          <t>Hola, gracias por contactar con Amazon. Sentimos las molestias ocasionadas. Para poder revisar este caso a fondo, un agente especializado tomará el caso. Por favor facilítanos el número de pedido por mensaje privado. ^AmazonHelp</t>
        </is>
      </c>
      <c r="E38" s="32" t="inlineStr">
        <is>
          <t>[5, 3, 5, 5, 5]</t>
        </is>
      </c>
      <c r="F38" s="32" t="inlineStr">
        <is>
          <t>[1, 1, 1, 5, 1]</t>
        </is>
      </c>
      <c r="G38" s="31" t="inlineStr">
        <is>
          <t>Spanish banter requesting a Nintendo Switch; agent inappropriately treats banter as serious complaint and escalates with apology.</t>
        </is>
      </c>
    </row>
    <row r="39" ht="42" customHeight="1">
      <c r="A39" s="30" t="n">
        <v>2531101</v>
      </c>
      <c r="B39" s="40" t="inlineStr">
        <is>
          <t>Severe divergence (diff 4) | Escalation dispute (J:4 vs A:2) | Groundedness gap (J:5, A:1)</t>
        </is>
      </c>
      <c r="C39" s="31" t="inlineStr">
        <is>
          <t>あ～～～アマゾンのミュージックアンリミテッド入会しちゃった～～～ああ～～～ジュディマリ聴き放題～～～あああ～～～～</t>
        </is>
      </c>
      <c r="D39" s="31"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E39" s="32" t="inlineStr">
        <is>
          <t>[5, 3, 5, 5, 4]</t>
        </is>
      </c>
      <c r="F39" s="32" t="inlineStr">
        <is>
          <t>[2, 1, 1, 5, 2]</t>
        </is>
      </c>
      <c r="G39" s="31" t="inlineStr">
        <is>
          <t>Japanese customer enthusiastically singing about joining Amazon Music Unlimited; agent inappropriately apologizes for inconvenience and requests DM.</t>
        </is>
      </c>
    </row>
    <row r="40" ht="42" customHeight="1">
      <c r="A40" s="30" t="n">
        <v>2541046</v>
      </c>
      <c r="B40" s="40" t="inlineStr">
        <is>
          <t>Severe divergence (diff 3) | Escalation dispute (J:5 vs A:3) | Groundedness gap (J:5, A:3)</t>
        </is>
      </c>
      <c r="C40" s="31" t="inlineStr">
        <is>
          <t>What is this @115850 day light cheating 
Regular price without deal is 2970 and when you press show me the deal shows 2978 (8ruppes more) and regular price goes up to 3028. Might be nominal but this is cheating in the name of "lightning deal" https://t.co/LL6kAuqoK1</t>
        </is>
      </c>
      <c r="D40" s="31" t="inlineStr">
        <is>
          <t>If your order has not yet entered the shipping process, you can make changes to your delivery address, payment method, or cancel items directly in 'Your Orders' &gt; 'Order Details'. Please note that promotional discount codes must be entered at checkout before completing the purchase. Feel free to reach out if you need assistance with an order! ^AmazonHelp</t>
        </is>
      </c>
      <c r="E40" s="32" t="inlineStr">
        <is>
          <t>[5, 5, 5, 5, 5]</t>
        </is>
      </c>
      <c r="F40" s="32" t="inlineStr">
        <is>
          <t>[2, 2, 3, 5, 3]</t>
        </is>
      </c>
      <c r="G40" s="31" t="inlineStr">
        <is>
          <t>Customer alleging price hike on lightning deal; agent gives general order modification/promo advice which partially touches promo code entry but misses pricing dispute.</t>
        </is>
      </c>
    </row>
    <row r="41" ht="42" customHeight="1">
      <c r="A41" s="30" t="n">
        <v>2611666</v>
      </c>
      <c r="B41" s="40" t="inlineStr">
        <is>
          <t>Severe divergence (diff 3) | Escalation dispute (J:5 vs A:2) | Groundedness gap (J:5, A:2)</t>
        </is>
      </c>
      <c r="C41" s="31" t="inlineStr">
        <is>
          <t>@AmazonHelp It was in the app. Presuming it was .co.uk.</t>
        </is>
      </c>
      <c r="D41" s="31" t="inlineStr">
        <is>
          <t>Thanks for reaching out to Amazon Support! For account-specific details, please review your status under 'Your Orders' or 'Your Account'. If you require further assistance, please provide your Order ID and we'll be glad to help. ^AmazonHelp</t>
        </is>
      </c>
      <c r="E41" s="32" t="inlineStr">
        <is>
          <t>[5, 5, 5, 5, 5]</t>
        </is>
      </c>
      <c r="F41" s="32" t="inlineStr">
        <is>
          <t>[2, 2, 2, 5, 2]</t>
        </is>
      </c>
      <c r="G41" s="31" t="inlineStr">
        <is>
          <t>Customer providing app context for earlier problem; generic order status reply fails to maintain conversation continuity.</t>
        </is>
      </c>
    </row>
    <row r="42" ht="42" customHeight="1">
      <c r="A42" s="30" t="n">
        <v>2777430</v>
      </c>
      <c r="B42" s="40" t="inlineStr">
        <is>
          <t>Severe divergence (diff 3) | Escalation dispute (J:5 vs A:2) | Groundedness gap (J:5, A:3)</t>
        </is>
      </c>
      <c r="C42" s="31" t="inlineStr">
        <is>
          <t>@AmazonHelp I think it was from the Kindle app. I followed it but it just took me to your website. Then I clicked off it and it was gone</t>
        </is>
      </c>
      <c r="D42" s="31" t="inlineStr">
        <is>
          <t>For issues with digital content or Amazon devices (such as Fire TV, Kindle, or Echo), we recommend restarting the device and checking your network connection. If using an app, ensuring the app is updated to the latest version and clearing its cache often resolves playback errors. If the issue persists, please let us know which device model you are using! ^AmazonHelp</t>
        </is>
      </c>
      <c r="E42" s="32" t="inlineStr">
        <is>
          <t>[5, 3, 5, 5, 5]</t>
        </is>
      </c>
      <c r="F42" s="32" t="inlineStr">
        <is>
          <t>[2, 2, 3, 5, 2]</t>
        </is>
      </c>
      <c r="G42" s="31" t="inlineStr">
        <is>
          <t>Customer clarifying Kindle app link navigation; agent gives general device restart troubleshooting rather than addressing link issue.</t>
        </is>
      </c>
    </row>
    <row r="43" ht="42" customHeight="1">
      <c r="A43" s="30" t="n">
        <v>2803279</v>
      </c>
      <c r="B43" s="40" t="inlineStr">
        <is>
          <t>Severe divergence (diff 4) | Escalation dispute (J:5 vs A:3) | Groundedness gap (J:5, A:1)</t>
        </is>
      </c>
      <c r="C43" s="31" t="inlineStr">
        <is>
          <t>So @115821 sent me a text saying I should buy something new for my cat.  The only thing I would ever need if I had a cat is a lifetime supply of allergy pills.  Bigger question - what on earth did someone in my house search for to trigger that algorithm?</t>
        </is>
      </c>
      <c r="D43" s="31" t="inlineStr">
        <is>
          <t>Thanks for reaching out to Amazon Support! For account-specific details, please review your status under 'Your Orders' or 'Your Account'. If you require further assistance, please provide your Order ID and we'll be glad to help. ^AmazonHelp</t>
        </is>
      </c>
      <c r="E43" s="32" t="inlineStr">
        <is>
          <t>[5, 5, 5, 5, 5]</t>
        </is>
      </c>
      <c r="F43" s="32" t="inlineStr">
        <is>
          <t>[1, 1, 1, 5, 3]</t>
        </is>
      </c>
      <c r="G43" s="31" t="inlineStr">
        <is>
          <t>Customer humorously questioning cat product recommendation; generic order status response misses the algorithmic recommendation context.</t>
        </is>
      </c>
    </row>
    <row r="44" ht="42" customHeight="1">
      <c r="A44" s="30" t="n">
        <v>2841828</v>
      </c>
      <c r="B44" s="40" t="inlineStr">
        <is>
          <t>Severe divergence (diff 4) | Escalation dispute (J:5 vs A:1) | Groundedness gap (J:5, A:2)</t>
        </is>
      </c>
      <c r="C44" s="31" t="inlineStr">
        <is>
          <t>Meu único estímulo para terminar a semana nesta altura do campeonato e a expectativa da chegada do meu pedido da @115821 &amp;lt;3</t>
        </is>
      </c>
      <c r="D44" s="31" t="inlineStr">
        <is>
          <t>Hola, gracias por contactar con Amazon. Sentimos las molestias ocasionadas. Para poder revisar este caso a fondo, un agente especializado tomará el caso. Por favor facilítanos el número de pedido por mensaje privado. ^AmazonHelp</t>
        </is>
      </c>
      <c r="E44" s="32" t="inlineStr">
        <is>
          <t>[5, 3, 5, 5, 5]</t>
        </is>
      </c>
      <c r="F44" s="32" t="inlineStr">
        <is>
          <t>[1, 1, 2, 5, 1]</t>
        </is>
      </c>
      <c r="G44" s="31" t="inlineStr">
        <is>
          <t>Portuguese customer excited about upcoming delivery; agent inappropriately apologizes in Spanish and escalates.</t>
        </is>
      </c>
    </row>
    <row r="45" ht="42" customHeight="1">
      <c r="A45" s="30" t="n">
        <v>2899522</v>
      </c>
      <c r="B45" s="40" t="inlineStr">
        <is>
          <t>Severe divergence (diff 4) | Escalation dispute (J:5 vs A:1) | Groundedness gap (J:5, A:1)</t>
        </is>
      </c>
      <c r="C45" s="31" t="inlineStr">
        <is>
          <t>Look what I've had delivered from @115830 as a surprise present for making them laugh with one of my tweets! I love them, they are so cute and cosy! Thank you very very much 💖 https://t.co/Uhncm1ckG9</t>
        </is>
      </c>
      <c r="D45" s="31" t="inlineStr">
        <is>
          <t>Thanks for reaching out to Amazon Support! For account-specific details, please review your status under 'Your Orders' or 'Your Account'. If you require further assistance, please provide your Order ID and we'll be glad to help. ^AmazonHelp</t>
        </is>
      </c>
      <c r="E45" s="32" t="inlineStr">
        <is>
          <t>[5, 5, 5, 5, 5]</t>
        </is>
      </c>
      <c r="F45" s="32" t="inlineStr">
        <is>
          <t>[1, 1, 1, 5, 1]</t>
        </is>
      </c>
      <c r="G45" s="31" t="inlineStr">
        <is>
          <t>Customer thanking Amazon for surprise gift delivery; agent gives generic order status check instead of acknowledging gratitude.</t>
        </is>
      </c>
    </row>
    <row r="46" ht="42" customHeight="1">
      <c r="A46" s="30" t="n">
        <v>2922515</v>
      </c>
      <c r="B46" s="40" t="inlineStr">
        <is>
          <t>Severe divergence (diff 4) | Escalation dispute (J:5 vs A:1) | Groundedness gap (J:5, A:1)</t>
        </is>
      </c>
      <c r="C46" s="31" t="inlineStr">
        <is>
          <t>@115821 I think amazon? It’s listed as prime shipping. &amp;amp; now it’s saying the 29th-30th!😡🤬 If it is a third party vendor, amazon should be more stringent with their policies allowing vendors prime status. This isn’t the first time, but this is the biggest upset. https://t.co/z360cZz3f0</t>
        </is>
      </c>
      <c r="D46" s="31" t="inlineStr">
        <is>
          <t>You can view, update, or cancel your Prime subscription settings at any time by visiting 'Your Account' &gt; 'Prime' &gt; 'Manage Membership'. If you choose to end your membership and have not used any Prime benefits during the billing cycle, you may be eligible for a full refund. Let us know if you have questions regarding a specific charge! ^AmazonHelp</t>
        </is>
      </c>
      <c r="E46" s="32" t="inlineStr">
        <is>
          <t>[5, 5, 5, 5, 5]</t>
        </is>
      </c>
      <c r="F46" s="32" t="inlineStr">
        <is>
          <t>[1, 1, 1, 5, 1]</t>
        </is>
      </c>
      <c r="G46" s="31" t="inlineStr">
        <is>
          <t>Customer complaining late Prime delivery from 3rd party vendor; agent inappropriately gives Prime membership cancellation instructions.</t>
        </is>
      </c>
    </row>
    <row r="47" ht="42" customHeight="1">
      <c r="A47" s="30" t="n">
        <v>2926332</v>
      </c>
      <c r="B47" s="40" t="inlineStr">
        <is>
          <t>Severe divergence (diff 3) | Escalation dispute (J:4 vs A:5) | Groundedness gap (J:5, A:2)</t>
        </is>
      </c>
      <c r="C47" s="31" t="inlineStr">
        <is>
          <t>あーAmazonマケプレの出品者に連絡するべきか、もう少し待つべきか、どーしたらいいんだもー(💢 ఠㅂఠ)⚡</t>
        </is>
      </c>
      <c r="D47" s="31"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E47" s="32" t="inlineStr">
        <is>
          <t>[5, 3, 5, 5, 4]</t>
        </is>
      </c>
      <c r="F47" s="32" t="inlineStr">
        <is>
          <t>[4, 3, 2, 5, 5]</t>
        </is>
      </c>
      <c r="G47" s="31" t="inlineStr">
        <is>
          <t>Japanese customer debating whether to contact marketplace seller about delay; agent politely guides to DM for specialist assistance in Japanese.</t>
        </is>
      </c>
    </row>
    <row r="48" ht="42" customHeight="1">
      <c r="A48" s="30" t="n">
        <v>2927090</v>
      </c>
      <c r="B48" s="40" t="inlineStr">
        <is>
          <t>Moderate divergence (diff 2) | Escalation dispute (J:5 vs A:4) | Groundedness gap (J:5, A:3)</t>
        </is>
      </c>
      <c r="C48" s="31" t="inlineStr">
        <is>
          <t>@AmazonHelp Eso me dijeron, el problema es que no llama. DHL, Fedex (si lo solicito) y estafeta lo hacen</t>
        </is>
      </c>
      <c r="D48" s="31" t="inlineStr">
        <is>
          <t>Hola, gracias por contactar con Amazon. Sentimos las molestias ocasionadas. Para poder revisar este caso a fondo, un agente especializado tomará el caso. Por favor facilítanos el número de pedido por mensaje privado. ^AmazonHelp</t>
        </is>
      </c>
      <c r="E48" s="32" t="inlineStr">
        <is>
          <t>[5, 3, 5, 5, 5]</t>
        </is>
      </c>
      <c r="F48" s="32" t="inlineStr">
        <is>
          <t>[3, 3, 3, 5, 4]</t>
        </is>
      </c>
      <c r="G48" s="31" t="inlineStr">
        <is>
          <t>Spanish customer complaining carrier doesn't call upon delivery; agent appropriately offers specialist escalation via private message in Spanish.</t>
        </is>
      </c>
    </row>
    <row r="49" ht="42" customHeight="1">
      <c r="A49" s="30" t="n">
        <v>2971945</v>
      </c>
      <c r="B49" s="40" t="inlineStr">
        <is>
          <t>Severe divergence (diff 3) | Groundedness gap (J:5, A:2)</t>
        </is>
      </c>
      <c r="C49" s="31" t="inlineStr">
        <is>
          <t>Amazonプライムは最初無駄だと思ってたんだが、彼女さんが無料会員になって解約し忘れて年会費払ってしまい、仕方なく使ってたんだがもはや抜けられんよ、今後もずっと払うよプライム</t>
        </is>
      </c>
      <c r="D49" s="31"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E49" s="32" t="inlineStr">
        <is>
          <t>[5, 3, 5, 5, 4]</t>
        </is>
      </c>
      <c r="F49" s="32" t="inlineStr">
        <is>
          <t>[3, 2, 2, 5, 4]</t>
        </is>
      </c>
      <c r="G49" s="31" t="inlineStr">
        <is>
          <t>Japanese customer sharing positive testimonial on Amazon Prime; agent provides standard polite Japanese support greeting and DM guidance.</t>
        </is>
      </c>
    </row>
  </sheetData>
  <mergeCells count="2">
    <mergeCell ref="A2:K2"/>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3"/>
  <sheetViews>
    <sheetView showGridLines="1" workbookViewId="0">
      <selection activeCell="A1" sqref="A1"/>
    </sheetView>
  </sheetViews>
  <sheetFormatPr baseColWidth="8" defaultRowHeight="15"/>
  <cols>
    <col width="16" customWidth="1" min="1" max="1"/>
    <col width="32" customWidth="1" min="2" max="2"/>
    <col width="32" customWidth="1" min="3" max="3"/>
    <col width="34" customWidth="1" min="4" max="4"/>
    <col width="28" customWidth="1" min="5" max="5"/>
    <col width="32" customWidth="1" min="6" max="6"/>
    <col width="85" customWidth="1" min="7" max="7"/>
  </cols>
  <sheetData>
    <row r="1" ht="25" customHeight="1">
      <c r="A1" s="1" t="inlineStr">
        <is>
          <t>STEP 4B/4C: ASSISTANT SUGGESTIONS REFERENCE LIBRARY (50 SAMPLES)</t>
        </is>
      </c>
    </row>
    <row r="2" ht="20" customHeight="1">
      <c r="A2" s="41" t="inlineStr">
        <is>
          <t>Assistant Suggestions are provided strictly as an audit reference. Human ratings must be independently verified.</t>
        </is>
      </c>
    </row>
    <row r="3" ht="28" customHeight="1">
      <c r="A3" s="42" t="inlineStr">
        <is>
          <t>message_id</t>
        </is>
      </c>
      <c r="B3" s="43" t="inlineStr">
        <is>
          <t>assistant_suggested_correctness</t>
        </is>
      </c>
      <c r="C3" s="43" t="inlineStr">
        <is>
          <t>assistant_suggested_helpfulness</t>
        </is>
      </c>
      <c r="D3" s="43" t="inlineStr">
        <is>
          <t>assistant_suggested_groundedness</t>
        </is>
      </c>
      <c r="E3" s="43" t="inlineStr">
        <is>
          <t>assistant_suggested_policy</t>
        </is>
      </c>
      <c r="F3" s="43" t="inlineStr">
        <is>
          <t>assistant_suggested_escalation</t>
        </is>
      </c>
      <c r="G3" s="42" t="inlineStr">
        <is>
          <t>assistant_reason</t>
        </is>
      </c>
    </row>
    <row r="4" ht="36" customHeight="1">
      <c r="A4" s="30" t="n">
        <v>25279</v>
      </c>
      <c r="B4" s="44" t="n">
        <v>2</v>
      </c>
      <c r="C4" s="44" t="n">
        <v>2</v>
      </c>
      <c r="D4" s="44" t="n">
        <v>2</v>
      </c>
      <c r="E4" s="44" t="n">
        <v>5</v>
      </c>
      <c r="F4" s="44" t="n">
        <v>2</v>
      </c>
      <c r="G4" s="31" t="inlineStr">
        <is>
          <t>Customer reports a costly unresolved problem; generic self-service order check lacks proactive escalation and misses financial urgency.</t>
        </is>
      </c>
    </row>
    <row r="5" ht="36" customHeight="1">
      <c r="A5" s="30" t="n">
        <v>65900</v>
      </c>
      <c r="B5" s="44" t="n">
        <v>5</v>
      </c>
      <c r="C5" s="44" t="n">
        <v>5</v>
      </c>
      <c r="D5" s="44" t="n">
        <v>4</v>
      </c>
      <c r="E5" s="44" t="n">
        <v>5</v>
      </c>
      <c r="F5" s="44" t="n">
        <v>5</v>
      </c>
      <c r="G5" s="31" t="inlineStr">
        <is>
          <t>Customer requests checking DM; agent provides clear, polite specialist escalation with direct message routing and secure handling.</t>
        </is>
      </c>
    </row>
    <row r="6" ht="36" customHeight="1">
      <c r="A6" s="30" t="n">
        <v>77408</v>
      </c>
      <c r="B6" s="44" t="n">
        <v>1</v>
      </c>
      <c r="C6" s="44" t="n">
        <v>1</v>
      </c>
      <c r="D6" s="44" t="n">
        <v>2</v>
      </c>
      <c r="E6" s="44" t="n">
        <v>5</v>
      </c>
      <c r="F6" s="44" t="n">
        <v>4</v>
      </c>
      <c r="G6" s="31" t="inlineStr">
        <is>
          <t>Customer expresses severe complaint and brand distrust; canned generic template is tone-deaf, though channel policy is maintained.</t>
        </is>
      </c>
    </row>
    <row r="7" ht="36" customHeight="1">
      <c r="A7" s="30" t="n">
        <v>77535</v>
      </c>
      <c r="B7" s="44" t="n">
        <v>2</v>
      </c>
      <c r="C7" s="44" t="n">
        <v>2</v>
      </c>
      <c r="D7" s="44" t="n">
        <v>2</v>
      </c>
      <c r="E7" s="44" t="n">
        <v>5</v>
      </c>
      <c r="F7" s="44" t="n">
        <v>3</v>
      </c>
      <c r="G7" s="31" t="inlineStr">
        <is>
          <t>Customer clarifies email and order confirmation history; canned account status reply does not address specific context of email history.</t>
        </is>
      </c>
    </row>
    <row r="8" ht="36" customHeight="1">
      <c r="A8" s="30" t="n">
        <v>95437</v>
      </c>
      <c r="B8" s="44" t="n">
        <v>5</v>
      </c>
      <c r="C8" s="44" t="n">
        <v>5</v>
      </c>
      <c r="D8" s="44" t="n">
        <v>3</v>
      </c>
      <c r="E8" s="44" t="n">
        <v>5</v>
      </c>
      <c r="F8" s="44" t="n">
        <v>5</v>
      </c>
      <c r="G8" s="31" t="inlineStr">
        <is>
          <t>Customer inquires about potential chat support security breach; agent properly initiates P0 escalation to Account Security Specialists.</t>
        </is>
      </c>
    </row>
    <row r="9" ht="36" customHeight="1">
      <c r="A9" s="30" t="n">
        <v>179265</v>
      </c>
      <c r="B9" s="44" t="n">
        <v>1</v>
      </c>
      <c r="C9" s="44" t="n">
        <v>1</v>
      </c>
      <c r="D9" s="44" t="n">
        <v>2</v>
      </c>
      <c r="E9" s="44" t="n">
        <v>5</v>
      </c>
      <c r="F9" s="44" t="n">
        <v>2</v>
      </c>
      <c r="G9" s="31" t="inlineStr">
        <is>
          <t>French query requesting a pertinent answer; agent sends generic English self-service template instead of responding in French or escalating.</t>
        </is>
      </c>
    </row>
    <row r="10" ht="36" customHeight="1">
      <c r="A10" s="30" t="n">
        <v>180800</v>
      </c>
      <c r="B10" s="44" t="n">
        <v>1</v>
      </c>
      <c r="C10" s="44" t="n">
        <v>1</v>
      </c>
      <c r="D10" s="44" t="n">
        <v>2</v>
      </c>
      <c r="E10" s="44" t="n">
        <v>5</v>
      </c>
      <c r="F10" s="44" t="n">
        <v>2</v>
      </c>
      <c r="G10" s="31" t="inlineStr">
        <is>
          <t>Customer shares URL to executive handle; generic order status response is irrelevant to the context of the tweet.</t>
        </is>
      </c>
    </row>
    <row r="11" ht="36" customHeight="1">
      <c r="A11" s="30" t="n">
        <v>183483</v>
      </c>
      <c r="B11" s="44" t="n">
        <v>4</v>
      </c>
      <c r="C11" s="44" t="n">
        <v>3</v>
      </c>
      <c r="D11" s="44" t="n">
        <v>5</v>
      </c>
      <c r="E11" s="44" t="n">
        <v>5</v>
      </c>
      <c r="F11" s="44" t="n">
        <v>5</v>
      </c>
      <c r="G11" s="31" t="inlineStr">
        <is>
          <t>Japanese customer expresses gratitude with request for recurrence prevention; polite Japanese reply appropriately directs to DM.</t>
        </is>
      </c>
    </row>
    <row r="12" ht="36" customHeight="1">
      <c r="A12" s="30" t="n">
        <v>234555</v>
      </c>
      <c r="B12" s="44" t="n">
        <v>1</v>
      </c>
      <c r="C12" s="44" t="n">
        <v>1</v>
      </c>
      <c r="D12" s="44" t="n">
        <v>2</v>
      </c>
      <c r="E12" s="44" t="n">
        <v>5</v>
      </c>
      <c r="F12" s="44" t="n">
        <v>2</v>
      </c>
      <c r="G12" s="31" t="inlineStr">
        <is>
          <t>Customer shares promotional deal link/screenshot; generic order tracking canned text does not address the promotion context.</t>
        </is>
      </c>
    </row>
    <row r="13" ht="36" customHeight="1">
      <c r="A13" s="30" t="n">
        <v>258713</v>
      </c>
      <c r="B13" s="44" t="n">
        <v>1</v>
      </c>
      <c r="C13" s="44" t="n">
        <v>1</v>
      </c>
      <c r="D13" s="44" t="n">
        <v>2</v>
      </c>
      <c r="E13" s="44" t="n">
        <v>5</v>
      </c>
      <c r="F13" s="44" t="n">
        <v>2</v>
      </c>
      <c r="G13" s="31" t="inlineStr">
        <is>
          <t>Customer alleging scam and demanding review post; canned self-service order text misses the review posting complaint entirely.</t>
        </is>
      </c>
    </row>
    <row r="14" ht="36" customHeight="1">
      <c r="A14" s="30" t="n">
        <v>291347</v>
      </c>
      <c r="B14" s="44" t="n">
        <v>1</v>
      </c>
      <c r="C14" s="44" t="n">
        <v>1</v>
      </c>
      <c r="D14" s="44" t="n">
        <v>2</v>
      </c>
      <c r="E14" s="44" t="n">
        <v>5</v>
      </c>
      <c r="F14" s="44" t="n">
        <v>2</v>
      </c>
      <c r="G14" s="31" t="inlineStr">
        <is>
          <t>Customer frustrated about back-end support access; generic self-service canned response repeats the unhelpful pattern.</t>
        </is>
      </c>
    </row>
    <row r="15" ht="36" customHeight="1">
      <c r="A15" s="30" t="n">
        <v>379700</v>
      </c>
      <c r="B15" s="44" t="n">
        <v>1</v>
      </c>
      <c r="C15" s="44" t="n">
        <v>1</v>
      </c>
      <c r="D15" s="44" t="n">
        <v>2</v>
      </c>
      <c r="E15" s="44" t="n">
        <v>5</v>
      </c>
      <c r="F15" s="44" t="n">
        <v>1</v>
      </c>
      <c r="G15" s="31" t="inlineStr">
        <is>
          <t>French positive banter ('what is your secret to being so good?'); agent mistakenly escalated with apology and requested order number in French.</t>
        </is>
      </c>
    </row>
    <row r="16" ht="36" customHeight="1">
      <c r="A16" s="30" t="n">
        <v>379788</v>
      </c>
      <c r="B16" s="44" t="n">
        <v>1</v>
      </c>
      <c r="C16" s="44" t="n">
        <v>1</v>
      </c>
      <c r="D16" s="44" t="n">
        <v>2</v>
      </c>
      <c r="E16" s="44" t="n">
        <v>5</v>
      </c>
      <c r="F16" s="44" t="n">
        <v>2</v>
      </c>
      <c r="G16" s="31" t="inlineStr">
        <is>
          <t>Customer received wrong item with photo proof; generic self-service text fails to provide replacement or return instructions.</t>
        </is>
      </c>
    </row>
    <row r="17" ht="36" customHeight="1">
      <c r="A17" s="30" t="n">
        <v>459028</v>
      </c>
      <c r="B17" s="44" t="n">
        <v>5</v>
      </c>
      <c r="C17" s="44" t="n">
        <v>5</v>
      </c>
      <c r="D17" s="44" t="n">
        <v>4</v>
      </c>
      <c r="E17" s="44" t="n">
        <v>5</v>
      </c>
      <c r="F17" s="44" t="n">
        <v>5</v>
      </c>
      <c r="G17" s="31" t="inlineStr">
        <is>
          <t>Customer warning about SMS phishing/unpaid fees scam; agent properly identifies security concern and instructs secure DM handling in Japanese.</t>
        </is>
      </c>
    </row>
    <row r="18" ht="36" customHeight="1">
      <c r="A18" s="30" t="n">
        <v>483090</v>
      </c>
      <c r="B18" s="44" t="n">
        <v>4</v>
      </c>
      <c r="C18" s="44" t="n">
        <v>3</v>
      </c>
      <c r="D18" s="44" t="n">
        <v>4</v>
      </c>
      <c r="E18" s="44" t="n">
        <v>5</v>
      </c>
      <c r="F18" s="44" t="n">
        <v>5</v>
      </c>
      <c r="G18" s="31" t="inlineStr">
        <is>
          <t>French customer asking about damaged carton refusal and signature photo; agent correctly escalates to specialist via DM in French.</t>
        </is>
      </c>
    </row>
    <row r="19" ht="36" customHeight="1">
      <c r="A19" s="30" t="n">
        <v>490648</v>
      </c>
      <c r="B19" s="44" t="n">
        <v>4</v>
      </c>
      <c r="C19" s="44" t="n">
        <v>3</v>
      </c>
      <c r="D19" s="44" t="n">
        <v>4</v>
      </c>
      <c r="E19" s="44" t="n">
        <v>5</v>
      </c>
      <c r="F19" s="44" t="n">
        <v>5</v>
      </c>
      <c r="G19" s="31" t="inlineStr">
        <is>
          <t>French customer reporting technical bug when contacting seller; agent appropriately escalates complex seller issue via DM in French.</t>
        </is>
      </c>
    </row>
    <row r="20" ht="36" customHeight="1">
      <c r="A20" s="30" t="n">
        <v>498538</v>
      </c>
      <c r="B20" s="44" t="n">
        <v>1</v>
      </c>
      <c r="C20" s="44" t="n">
        <v>1</v>
      </c>
      <c r="D20" s="44" t="n">
        <v>1</v>
      </c>
      <c r="E20" s="44" t="n">
        <v>5</v>
      </c>
      <c r="F20" s="44" t="n">
        <v>1</v>
      </c>
      <c r="G20" s="31" t="inlineStr">
        <is>
          <t>Customer complaining about late next-day Prime delivery; agent erroneously outputs Prime subscription cancellation/refund instructions.</t>
        </is>
      </c>
    </row>
    <row r="21" ht="36" customHeight="1">
      <c r="A21" s="30" t="n">
        <v>508166</v>
      </c>
      <c r="B21" s="44" t="n">
        <v>1</v>
      </c>
      <c r="C21" s="44" t="n">
        <v>1</v>
      </c>
      <c r="D21" s="44" t="n">
        <v>2</v>
      </c>
      <c r="E21" s="44" t="n">
        <v>5</v>
      </c>
      <c r="F21" s="44" t="n">
        <v>2</v>
      </c>
      <c r="G21" s="31" t="inlineStr">
        <is>
          <t>Customer complaining with photo about wrong item received; generic order tracking reply ignores wrong item replacement.</t>
        </is>
      </c>
    </row>
    <row r="22" ht="36" customHeight="1">
      <c r="A22" s="30" t="n">
        <v>532639</v>
      </c>
      <c r="B22" s="44" t="n">
        <v>1</v>
      </c>
      <c r="C22" s="44" t="n">
        <v>1</v>
      </c>
      <c r="D22" s="44" t="n">
        <v>1</v>
      </c>
      <c r="E22" s="44" t="n">
        <v>5</v>
      </c>
      <c r="F22" s="44" t="n">
        <v>1</v>
      </c>
      <c r="G22" s="31" t="inlineStr">
        <is>
          <t>German conversational banter ('Schade. Da bin ich immer neugierig'); agent sends generic English order tracking response.</t>
        </is>
      </c>
    </row>
    <row r="23" ht="36" customHeight="1">
      <c r="A23" s="30" t="n">
        <v>649952</v>
      </c>
      <c r="B23" s="44" t="n">
        <v>1</v>
      </c>
      <c r="C23" s="44" t="n">
        <v>1</v>
      </c>
      <c r="D23" s="44" t="n">
        <v>1</v>
      </c>
      <c r="E23" s="44" t="n">
        <v>5</v>
      </c>
      <c r="F23" s="44" t="n">
        <v>1</v>
      </c>
      <c r="G23" s="31" t="inlineStr">
        <is>
          <t>Japanese customer expressing delight that separate orders arrived in one box; agent inappropriately apologizes for inconvenience and requests DM.</t>
        </is>
      </c>
    </row>
    <row r="24" ht="36" customHeight="1">
      <c r="A24" s="30" t="n">
        <v>679078</v>
      </c>
      <c r="B24" s="44" t="n">
        <v>1</v>
      </c>
      <c r="C24" s="44" t="n">
        <v>1</v>
      </c>
      <c r="D24" s="44" t="n">
        <v>1</v>
      </c>
      <c r="E24" s="44" t="n">
        <v>5</v>
      </c>
      <c r="F24" s="44" t="n">
        <v>1</v>
      </c>
      <c r="G24" s="31" t="inlineStr">
        <is>
          <t>Japanese customer sharing positive purchase experience (cheap welding cartridge); agent inappropriately apologizes and requests order number.</t>
        </is>
      </c>
    </row>
    <row r="25" ht="36" customHeight="1">
      <c r="A25" s="30" t="n">
        <v>701334</v>
      </c>
      <c r="B25" s="44" t="n">
        <v>1</v>
      </c>
      <c r="C25" s="44" t="n">
        <v>1</v>
      </c>
      <c r="D25" s="44" t="n">
        <v>1</v>
      </c>
      <c r="E25" s="44" t="n">
        <v>5</v>
      </c>
      <c r="F25" s="44" t="n">
        <v>1</v>
      </c>
      <c r="G25" s="31" t="inlineStr">
        <is>
          <t>Customer complaining Prime Now failed delivery while at home; agent irrelevantly provides Prime subscription cancellation advice.</t>
        </is>
      </c>
    </row>
    <row r="26" ht="36" customHeight="1">
      <c r="A26" s="30" t="n">
        <v>909507</v>
      </c>
      <c r="B26" s="44" t="n">
        <v>5</v>
      </c>
      <c r="C26" s="44" t="n">
        <v>5</v>
      </c>
      <c r="D26" s="44" t="n">
        <v>4</v>
      </c>
      <c r="E26" s="44" t="n">
        <v>5</v>
      </c>
      <c r="F26" s="44" t="n">
        <v>5</v>
      </c>
      <c r="G26" s="31" t="inlineStr">
        <is>
          <t>Customer asking team to check DM; agent appropriately apologizes, flags for specialist review, and guides DM communication.</t>
        </is>
      </c>
    </row>
    <row r="27" ht="36" customHeight="1">
      <c r="A27" s="30" t="n">
        <v>944251</v>
      </c>
      <c r="B27" s="44" t="n">
        <v>1</v>
      </c>
      <c r="C27" s="44" t="n">
        <v>1</v>
      </c>
      <c r="D27" s="44" t="n">
        <v>2</v>
      </c>
      <c r="E27" s="44" t="n">
        <v>5</v>
      </c>
      <c r="F27" s="44" t="n">
        <v>1</v>
      </c>
      <c r="G27" s="31" t="inlineStr">
        <is>
          <t>Customer says 'Done.'; agent responds with generic self-service order tracking instead of acknowledging completion or continuing thread.</t>
        </is>
      </c>
    </row>
    <row r="28" ht="36" customHeight="1">
      <c r="A28" s="30" t="n">
        <v>947686</v>
      </c>
      <c r="B28" s="44" t="n">
        <v>1</v>
      </c>
      <c r="C28" s="44" t="n">
        <v>1</v>
      </c>
      <c r="D28" s="44" t="n">
        <v>2</v>
      </c>
      <c r="E28" s="44" t="n">
        <v>5</v>
      </c>
      <c r="F28" s="44" t="n">
        <v>2</v>
      </c>
      <c r="G28" s="31" t="inlineStr">
        <is>
          <t>Customer complaining of repeated late delivery and expired product; generic order status reply ignores serious expired product complaint.</t>
        </is>
      </c>
    </row>
    <row r="29" ht="36" customHeight="1">
      <c r="A29" s="30" t="n">
        <v>984200</v>
      </c>
      <c r="B29" s="44" t="n">
        <v>5</v>
      </c>
      <c r="C29" s="44" t="n">
        <v>4</v>
      </c>
      <c r="D29" s="44" t="n">
        <v>3</v>
      </c>
      <c r="E29" s="44" t="n">
        <v>5</v>
      </c>
      <c r="F29" s="44" t="n">
        <v>3</v>
      </c>
      <c r="G29" s="31" t="inlineStr">
        <is>
          <t>Customer reporting Kindle for PC formatting issue; agent provides relevant digital/Kindle troubleshooting steps.</t>
        </is>
      </c>
    </row>
    <row r="30" ht="36" customHeight="1">
      <c r="A30" s="30" t="n">
        <v>1113514</v>
      </c>
      <c r="B30" s="44" t="n">
        <v>1</v>
      </c>
      <c r="C30" s="44" t="n">
        <v>1</v>
      </c>
      <c r="D30" s="44" t="n">
        <v>1</v>
      </c>
      <c r="E30" s="44" t="n">
        <v>5</v>
      </c>
      <c r="F30" s="44" t="n">
        <v>1</v>
      </c>
      <c r="G30" s="31" t="inlineStr">
        <is>
          <t>Customer posting promotional image/hashtag; agent responds with generic order status advice.</t>
        </is>
      </c>
    </row>
    <row r="31" ht="36" customHeight="1">
      <c r="A31" s="30" t="n">
        <v>1300626</v>
      </c>
      <c r="B31" s="44" t="n">
        <v>1</v>
      </c>
      <c r="C31" s="44" t="n">
        <v>1</v>
      </c>
      <c r="D31" s="44" t="n">
        <v>2</v>
      </c>
      <c r="E31" s="44" t="n">
        <v>5</v>
      </c>
      <c r="F31" s="44" t="n">
        <v>2</v>
      </c>
      <c r="G31" s="31" t="inlineStr">
        <is>
          <t>Customer asking for link to online chat regarding 1-day shipping; generic order status response fails to provide chat link or direct help.</t>
        </is>
      </c>
    </row>
    <row r="32" ht="36" customHeight="1">
      <c r="A32" s="30" t="n">
        <v>1313039</v>
      </c>
      <c r="B32" s="44" t="n">
        <v>1</v>
      </c>
      <c r="C32" s="44" t="n">
        <v>1</v>
      </c>
      <c r="D32" s="44" t="n">
        <v>2</v>
      </c>
      <c r="E32" s="44" t="n">
        <v>5</v>
      </c>
      <c r="F32" s="44" t="n">
        <v>1</v>
      </c>
      <c r="G32" s="31" t="inlineStr">
        <is>
          <t>Customer praying parcel is left with neighbor for coffee machine; generic order status response misses the delivery instruction context.</t>
        </is>
      </c>
    </row>
    <row r="33" ht="36" customHeight="1">
      <c r="A33" s="30" t="n">
        <v>1362458</v>
      </c>
      <c r="B33" s="44" t="n">
        <v>1</v>
      </c>
      <c r="C33" s="44" t="n">
        <v>1</v>
      </c>
      <c r="D33" s="44" t="n">
        <v>2</v>
      </c>
      <c r="E33" s="44" t="n">
        <v>5</v>
      </c>
      <c r="F33" s="44" t="n">
        <v>2</v>
      </c>
      <c r="G33" s="31" t="inlineStr">
        <is>
          <t>Customer answering carrier clarification (AMZL US recurring issue); generic order status template ignores the carrier logistics feedback.</t>
        </is>
      </c>
    </row>
    <row r="34" ht="36" customHeight="1">
      <c r="A34" s="30" t="n">
        <v>1382396</v>
      </c>
      <c r="B34" s="44" t="n">
        <v>1</v>
      </c>
      <c r="C34" s="44" t="n">
        <v>1</v>
      </c>
      <c r="D34" s="44" t="n">
        <v>1</v>
      </c>
      <c r="E34" s="44" t="n">
        <v>5</v>
      </c>
      <c r="F34" s="44" t="n">
        <v>1</v>
      </c>
      <c r="G34" s="31" t="inlineStr">
        <is>
          <t>Customer venting about phone CS delay on delivery replacement; agent erroneously gives Online Returns Center refund instructions instead of addressing replacement delay.</t>
        </is>
      </c>
    </row>
    <row r="35" ht="36" customHeight="1">
      <c r="A35" s="30" t="n">
        <v>1572905</v>
      </c>
      <c r="B35" s="44" t="n">
        <v>1</v>
      </c>
      <c r="C35" s="44" t="n">
        <v>1</v>
      </c>
      <c r="D35" s="44" t="n">
        <v>2</v>
      </c>
      <c r="E35" s="44" t="n">
        <v>5</v>
      </c>
      <c r="F35" s="44" t="n">
        <v>2</v>
      </c>
      <c r="G35" s="31" t="inlineStr">
        <is>
          <t>Customer alleging scam regarding price change and delivery charges at checkout; generic self-service reply ignores billing/checkout complaint.</t>
        </is>
      </c>
    </row>
    <row r="36" ht="36" customHeight="1">
      <c r="A36" s="30" t="n">
        <v>1691622</v>
      </c>
      <c r="B36" s="44" t="n">
        <v>1</v>
      </c>
      <c r="C36" s="44" t="n">
        <v>1</v>
      </c>
      <c r="D36" s="44" t="n">
        <v>1</v>
      </c>
      <c r="E36" s="44" t="n">
        <v>5</v>
      </c>
      <c r="F36" s="44" t="n">
        <v>2</v>
      </c>
      <c r="G36" s="31" t="inlineStr">
        <is>
          <t>Customer complaining contest winners list is fake; generic order status reply is completely unrelated to contest inquiry.</t>
        </is>
      </c>
    </row>
    <row r="37" ht="36" customHeight="1">
      <c r="A37" s="30" t="n">
        <v>1764531</v>
      </c>
      <c r="B37" s="44" t="n">
        <v>5</v>
      </c>
      <c r="C37" s="44" t="n">
        <v>4</v>
      </c>
      <c r="D37" s="44" t="n">
        <v>3</v>
      </c>
      <c r="E37" s="44" t="n">
        <v>5</v>
      </c>
      <c r="F37" s="44" t="n">
        <v>5</v>
      </c>
      <c r="G37" s="31" t="inlineStr">
        <is>
          <t>Spanish customer locked out of account while ordering; agent appropriately escalates in Spanish to specialized agent via private message.</t>
        </is>
      </c>
    </row>
    <row r="38" ht="36" customHeight="1">
      <c r="A38" s="30" t="n">
        <v>1829432</v>
      </c>
      <c r="B38" s="44" t="n">
        <v>1</v>
      </c>
      <c r="C38" s="44" t="n">
        <v>1</v>
      </c>
      <c r="D38" s="44" t="n">
        <v>2</v>
      </c>
      <c r="E38" s="44" t="n">
        <v>5</v>
      </c>
      <c r="F38" s="44" t="n">
        <v>2</v>
      </c>
      <c r="G38" s="31" t="inlineStr">
        <is>
          <t>Customer recovering from surgery complaining items haven't arrived; generic self-service order check lacks empathy and proactive logistics check.</t>
        </is>
      </c>
    </row>
    <row r="39" ht="36" customHeight="1">
      <c r="A39" s="30" t="n">
        <v>2126759</v>
      </c>
      <c r="B39" s="44" t="n">
        <v>4</v>
      </c>
      <c r="C39" s="44" t="n">
        <v>3</v>
      </c>
      <c r="D39" s="44" t="n">
        <v>3</v>
      </c>
      <c r="E39" s="44" t="n">
        <v>5</v>
      </c>
      <c r="F39" s="44" t="n">
        <v>2</v>
      </c>
      <c r="G39" s="31" t="inlineStr">
        <is>
          <t>Customer asking to check status of two overdue orders; generic self-service order tracking response is partially helpful but fails to offer direct DM check.</t>
        </is>
      </c>
    </row>
    <row r="40" ht="36" customHeight="1">
      <c r="A40" s="30" t="n">
        <v>2184761</v>
      </c>
      <c r="B40" s="44" t="n">
        <v>1</v>
      </c>
      <c r="C40" s="44" t="n">
        <v>1</v>
      </c>
      <c r="D40" s="44" t="n">
        <v>1</v>
      </c>
      <c r="E40" s="44" t="n">
        <v>5</v>
      </c>
      <c r="F40" s="44" t="n">
        <v>2</v>
      </c>
      <c r="G40" s="31" t="inlineStr">
        <is>
          <t>Customer asking product specification question about Echo Plus bundling; agent gives irrelevant device troubleshooting/reboot instructions.</t>
        </is>
      </c>
    </row>
    <row r="41" ht="36" customHeight="1">
      <c r="A41" s="30" t="n">
        <v>2254381</v>
      </c>
      <c r="B41" s="44" t="n">
        <v>1</v>
      </c>
      <c r="C41" s="44" t="n">
        <v>1</v>
      </c>
      <c r="D41" s="44" t="n">
        <v>1</v>
      </c>
      <c r="E41" s="44" t="n">
        <v>5</v>
      </c>
      <c r="F41" s="44" t="n">
        <v>2</v>
      </c>
      <c r="G41" s="31" t="inlineStr">
        <is>
          <t>Portuguese customer reporting postal code/state mismatch error; agent gives generic English order status template.</t>
        </is>
      </c>
    </row>
    <row r="42" ht="36" customHeight="1">
      <c r="A42" s="30" t="n">
        <v>2465040</v>
      </c>
      <c r="B42" s="44" t="n">
        <v>1</v>
      </c>
      <c r="C42" s="44" t="n">
        <v>1</v>
      </c>
      <c r="D42" s="44" t="n">
        <v>1</v>
      </c>
      <c r="E42" s="44" t="n">
        <v>5</v>
      </c>
      <c r="F42" s="44" t="n">
        <v>1</v>
      </c>
      <c r="G42" s="31" t="inlineStr">
        <is>
          <t>Spanish banter requesting a Nintendo Switch; agent inappropriately treats banter as serious complaint and escalates with apology.</t>
        </is>
      </c>
    </row>
    <row r="43" ht="36" customHeight="1">
      <c r="A43" s="30" t="n">
        <v>2531101</v>
      </c>
      <c r="B43" s="44" t="n">
        <v>2</v>
      </c>
      <c r="C43" s="44" t="n">
        <v>1</v>
      </c>
      <c r="D43" s="44" t="n">
        <v>1</v>
      </c>
      <c r="E43" s="44" t="n">
        <v>5</v>
      </c>
      <c r="F43" s="44" t="n">
        <v>2</v>
      </c>
      <c r="G43" s="31" t="inlineStr">
        <is>
          <t>Japanese customer enthusiastically singing about joining Amazon Music Unlimited; agent inappropriately apologizes for inconvenience and requests DM.</t>
        </is>
      </c>
    </row>
    <row r="44" ht="36" customHeight="1">
      <c r="A44" s="30" t="n">
        <v>2541046</v>
      </c>
      <c r="B44" s="44" t="n">
        <v>2</v>
      </c>
      <c r="C44" s="44" t="n">
        <v>2</v>
      </c>
      <c r="D44" s="44" t="n">
        <v>3</v>
      </c>
      <c r="E44" s="44" t="n">
        <v>5</v>
      </c>
      <c r="F44" s="44" t="n">
        <v>3</v>
      </c>
      <c r="G44" s="31" t="inlineStr">
        <is>
          <t>Customer alleging price hike on lightning deal; agent gives general order modification/promo advice which partially touches promo code entry but misses pricing dispute.</t>
        </is>
      </c>
    </row>
    <row r="45" ht="36" customHeight="1">
      <c r="A45" s="30" t="n">
        <v>2611666</v>
      </c>
      <c r="B45" s="44" t="n">
        <v>2</v>
      </c>
      <c r="C45" s="44" t="n">
        <v>2</v>
      </c>
      <c r="D45" s="44" t="n">
        <v>2</v>
      </c>
      <c r="E45" s="44" t="n">
        <v>5</v>
      </c>
      <c r="F45" s="44" t="n">
        <v>2</v>
      </c>
      <c r="G45" s="31" t="inlineStr">
        <is>
          <t>Customer providing app context for earlier problem; generic order status reply fails to maintain conversation continuity.</t>
        </is>
      </c>
    </row>
    <row r="46" ht="36" customHeight="1">
      <c r="A46" s="30" t="n">
        <v>2777430</v>
      </c>
      <c r="B46" s="44" t="n">
        <v>2</v>
      </c>
      <c r="C46" s="44" t="n">
        <v>2</v>
      </c>
      <c r="D46" s="44" t="n">
        <v>3</v>
      </c>
      <c r="E46" s="44" t="n">
        <v>5</v>
      </c>
      <c r="F46" s="44" t="n">
        <v>2</v>
      </c>
      <c r="G46" s="31" t="inlineStr">
        <is>
          <t>Customer clarifying Kindle app link navigation; agent gives general device restart troubleshooting rather than addressing link issue.</t>
        </is>
      </c>
    </row>
    <row r="47" ht="36" customHeight="1">
      <c r="A47" s="30" t="n">
        <v>2803279</v>
      </c>
      <c r="B47" s="44" t="n">
        <v>1</v>
      </c>
      <c r="C47" s="44" t="n">
        <v>1</v>
      </c>
      <c r="D47" s="44" t="n">
        <v>1</v>
      </c>
      <c r="E47" s="44" t="n">
        <v>5</v>
      </c>
      <c r="F47" s="44" t="n">
        <v>3</v>
      </c>
      <c r="G47" s="31" t="inlineStr">
        <is>
          <t>Customer humorously questioning cat product recommendation; generic order status response misses the algorithmic recommendation context.</t>
        </is>
      </c>
    </row>
    <row r="48" ht="36" customHeight="1">
      <c r="A48" s="30" t="n">
        <v>2841828</v>
      </c>
      <c r="B48" s="44" t="n">
        <v>1</v>
      </c>
      <c r="C48" s="44" t="n">
        <v>1</v>
      </c>
      <c r="D48" s="44" t="n">
        <v>2</v>
      </c>
      <c r="E48" s="44" t="n">
        <v>5</v>
      </c>
      <c r="F48" s="44" t="n">
        <v>1</v>
      </c>
      <c r="G48" s="31" t="inlineStr">
        <is>
          <t>Portuguese customer excited about upcoming delivery; agent inappropriately apologizes in Spanish and escalates.</t>
        </is>
      </c>
    </row>
    <row r="49" ht="36" customHeight="1">
      <c r="A49" s="30" t="n">
        <v>2899522</v>
      </c>
      <c r="B49" s="44" t="n">
        <v>1</v>
      </c>
      <c r="C49" s="44" t="n">
        <v>1</v>
      </c>
      <c r="D49" s="44" t="n">
        <v>1</v>
      </c>
      <c r="E49" s="44" t="n">
        <v>5</v>
      </c>
      <c r="F49" s="44" t="n">
        <v>1</v>
      </c>
      <c r="G49" s="31" t="inlineStr">
        <is>
          <t>Customer thanking Amazon for surprise gift delivery; agent gives generic order status check instead of acknowledging gratitude.</t>
        </is>
      </c>
    </row>
    <row r="50" ht="36" customHeight="1">
      <c r="A50" s="30" t="n">
        <v>2922515</v>
      </c>
      <c r="B50" s="44" t="n">
        <v>1</v>
      </c>
      <c r="C50" s="44" t="n">
        <v>1</v>
      </c>
      <c r="D50" s="44" t="n">
        <v>1</v>
      </c>
      <c r="E50" s="44" t="n">
        <v>5</v>
      </c>
      <c r="F50" s="44" t="n">
        <v>1</v>
      </c>
      <c r="G50" s="31" t="inlineStr">
        <is>
          <t>Customer complaining late Prime delivery from 3rd party vendor; agent inappropriately gives Prime membership cancellation instructions.</t>
        </is>
      </c>
    </row>
    <row r="51" ht="36" customHeight="1">
      <c r="A51" s="30" t="n">
        <v>2926332</v>
      </c>
      <c r="B51" s="44" t="n">
        <v>4</v>
      </c>
      <c r="C51" s="44" t="n">
        <v>3</v>
      </c>
      <c r="D51" s="44" t="n">
        <v>2</v>
      </c>
      <c r="E51" s="44" t="n">
        <v>5</v>
      </c>
      <c r="F51" s="44" t="n">
        <v>5</v>
      </c>
      <c r="G51" s="31" t="inlineStr">
        <is>
          <t>Japanese customer debating whether to contact marketplace seller about delay; agent politely guides to DM for specialist assistance in Japanese.</t>
        </is>
      </c>
    </row>
    <row r="52" ht="36" customHeight="1">
      <c r="A52" s="30" t="n">
        <v>2927090</v>
      </c>
      <c r="B52" s="44" t="n">
        <v>3</v>
      </c>
      <c r="C52" s="44" t="n">
        <v>3</v>
      </c>
      <c r="D52" s="44" t="n">
        <v>3</v>
      </c>
      <c r="E52" s="44" t="n">
        <v>5</v>
      </c>
      <c r="F52" s="44" t="n">
        <v>4</v>
      </c>
      <c r="G52" s="31" t="inlineStr">
        <is>
          <t>Spanish customer complaining carrier doesn't call upon delivery; agent appropriately offers specialist escalation via private message in Spanish.</t>
        </is>
      </c>
    </row>
    <row r="53" ht="36" customHeight="1">
      <c r="A53" s="30" t="n">
        <v>2971945</v>
      </c>
      <c r="B53" s="44" t="n">
        <v>3</v>
      </c>
      <c r="C53" s="44" t="n">
        <v>2</v>
      </c>
      <c r="D53" s="44" t="n">
        <v>2</v>
      </c>
      <c r="E53" s="44" t="n">
        <v>5</v>
      </c>
      <c r="F53" s="44" t="n">
        <v>4</v>
      </c>
      <c r="G53" s="31" t="inlineStr">
        <is>
          <t>Japanese customer sharing positive testimonial on Amazon Prime; agent provides standard polite Japanese support greeting and DM guidance.</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3"/>
  <sheetViews>
    <sheetView showGridLines="1" workbookViewId="0">
      <selection activeCell="A1" sqref="A1"/>
    </sheetView>
  </sheetViews>
  <sheetFormatPr baseColWidth="8" defaultRowHeight="15"/>
  <cols>
    <col width="16" customWidth="1" min="1" max="1"/>
    <col width="30" customWidth="1" min="2" max="2"/>
    <col width="30" customWidth="1" min="3" max="3"/>
    <col width="32" customWidth="1" min="4" max="4"/>
    <col width="26" customWidth="1" min="5" max="5"/>
    <col width="30" customWidth="1" min="6" max="6"/>
    <col width="90" customWidth="1" min="7" max="7"/>
  </cols>
  <sheetData>
    <row r="1" ht="26" customHeight="1">
      <c r="A1" s="45" t="inlineStr">
        <is>
          <t>STEP 4D: SUGGESTED HUMAN RATINGS &amp; ANALYTICAL RATIONALES (50 SAMPLES)</t>
        </is>
      </c>
    </row>
    <row r="2" ht="20" customHeight="1">
      <c r="A2" s="46" t="inlineStr">
        <is>
          <t>NOTICE: Suggested Human Ratings are provided strictly as expert reviewer proposals. Human rating columns in 'Judge-Human Audit' remain unpopulated until human review.</t>
        </is>
      </c>
    </row>
    <row r="3" ht="28" customHeight="1">
      <c r="A3" s="47" t="inlineStr">
        <is>
          <t>message_id</t>
        </is>
      </c>
      <c r="B3" s="48" t="inlineStr">
        <is>
          <t>suggested_human_correctness</t>
        </is>
      </c>
      <c r="C3" s="48" t="inlineStr">
        <is>
          <t>suggested_human_helpfulness</t>
        </is>
      </c>
      <c r="D3" s="48" t="inlineStr">
        <is>
          <t>suggested_human_groundedness</t>
        </is>
      </c>
      <c r="E3" s="48" t="inlineStr">
        <is>
          <t>suggested_human_policy</t>
        </is>
      </c>
      <c r="F3" s="48" t="inlineStr">
        <is>
          <t>suggested_human_escalation</t>
        </is>
      </c>
      <c r="G3" s="49" t="inlineStr">
        <is>
          <t>suggested_reason</t>
        </is>
      </c>
    </row>
    <row r="4" ht="45" customHeight="1">
      <c r="A4" s="22" t="n">
        <v>25279</v>
      </c>
      <c r="B4" s="25" t="n">
        <v>2</v>
      </c>
      <c r="C4" s="25" t="n">
        <v>2</v>
      </c>
      <c r="D4" s="25" t="n">
        <v>2</v>
      </c>
      <c r="E4" s="25" t="n">
        <v>5</v>
      </c>
      <c r="F4" s="25" t="n">
        <v>2</v>
      </c>
      <c r="G4" s="23" t="inlineStr">
        <is>
          <t>Customer asked about a costly unresolved dispute with Amazon. Agent delivered a generic canned template advising the customer to check 'Your Orders' with Order ID. The retrieved evidence contains general return threads with low relevance (score ~0.15) lacking dispute guidance. Escalation was inappropriately withheld despite the explicit report of severe financial impact, though standard public channel safety policy was maintained.</t>
        </is>
      </c>
    </row>
    <row r="5" ht="45" customHeight="1">
      <c r="A5" s="30" t="n">
        <v>65900</v>
      </c>
      <c r="B5" s="32" t="n">
        <v>5</v>
      </c>
      <c r="C5" s="32" t="n">
        <v>5</v>
      </c>
      <c r="D5" s="32" t="n">
        <v>4</v>
      </c>
      <c r="E5" s="32" t="n">
        <v>5</v>
      </c>
      <c r="F5" s="32" t="n">
        <v>5</v>
      </c>
      <c r="G5" s="31" t="inlineStr">
        <is>
          <t>Customer requested AmazonHelp to check their direct message ('plzzz check DM'). Agent correctly recognized active DM handoff state, expressed empathy, and properly escalated to a customer support specialist via secure private message. Retrieved evidence strongly supported DM routing (score 0.43). Escalation decision was completely appropriate, secure, and customer-friendly.</t>
        </is>
      </c>
    </row>
    <row r="6" ht="45" customHeight="1">
      <c r="A6" s="22" t="n">
        <v>77408</v>
      </c>
      <c r="B6" s="25" t="n">
        <v>1</v>
      </c>
      <c r="C6" s="25" t="n">
        <v>1</v>
      </c>
      <c r="D6" s="25" t="n">
        <v>2</v>
      </c>
      <c r="E6" s="25" t="n">
        <v>5</v>
      </c>
      <c r="F6" s="25" t="n">
        <v>4</v>
      </c>
      <c r="G6" s="23" t="inlineStr">
        <is>
          <t>Customer vented severe frustration and brand distrust ('Please don't buy any product from amazon... see real face of company'). Agent gave an unhelpful, tone-deaf canned self-service order check. Retrieved evidence matched general customer centricity complaints (score 0.29) but was not utilized to de-escalate. While channel policy was preserved, auto-handling was poor though escalation was marked standard.</t>
        </is>
      </c>
    </row>
    <row r="7" ht="45" customHeight="1">
      <c r="A7" s="30" t="n">
        <v>77535</v>
      </c>
      <c r="B7" s="32" t="n">
        <v>2</v>
      </c>
      <c r="C7" s="32" t="n">
        <v>2</v>
      </c>
      <c r="D7" s="32" t="n">
        <v>2</v>
      </c>
      <c r="E7" s="32" t="n">
        <v>5</v>
      </c>
      <c r="F7" s="32" t="n">
        <v>3</v>
      </c>
      <c r="G7" s="31" t="inlineStr">
        <is>
          <t>Customer clarified their account email address history and old order confirmations in inbox. Agent provided a generic account and order lookup template. Retrieved evidence had low relevance (score 0.14) packaging threads with minimal context fit. Escalation policy was acceptable, but the reply missed the specific account email clarification context.</t>
        </is>
      </c>
    </row>
    <row r="8" ht="45" customHeight="1">
      <c r="A8" s="22" t="n">
        <v>95437</v>
      </c>
      <c r="B8" s="25" t="n">
        <v>5</v>
      </c>
      <c r="C8" s="25" t="n">
        <v>5</v>
      </c>
      <c r="D8" s="25" t="n">
        <v>3</v>
      </c>
      <c r="E8" s="25" t="n">
        <v>5</v>
      </c>
      <c r="F8" s="25" t="n">
        <v>5</v>
      </c>
      <c r="G8" s="23" t="inlineStr">
        <is>
          <t>Customer asked whether online chat support was hacked. Agent immediately identified potential account security compromise, gave explicit safety warnings not to share passwords publicly, and escalated to Account Security Specialists via DM. Retrieved evidence showed general chat hours rather than security breaches, but agent correctly overrode retrieval to trigger mandatory P0 critical security escalation.</t>
        </is>
      </c>
    </row>
    <row r="9" ht="45" customHeight="1">
      <c r="A9" s="30" t="n">
        <v>179265</v>
      </c>
      <c r="B9" s="32" t="n">
        <v>1</v>
      </c>
      <c r="C9" s="32" t="n">
        <v>1</v>
      </c>
      <c r="D9" s="32" t="n">
        <v>2</v>
      </c>
      <c r="E9" s="32" t="n">
        <v>5</v>
      </c>
      <c r="F9" s="32" t="n">
        <v>2</v>
      </c>
      <c r="G9" s="31" t="inlineStr">
        <is>
          <t>French customer demanded a pertinent answer after prior frustration. Agent sent a generic English canned self-service template. Retrieved evidence contained French thread fragments (score 0.26) that were not leveraged for language matching. Escalation was inappropriately withheld and the response failed basic language alignment.</t>
        </is>
      </c>
    </row>
    <row r="10" ht="45" customHeight="1">
      <c r="A10" s="22" t="n">
        <v>180800</v>
      </c>
      <c r="B10" s="25" t="n">
        <v>1</v>
      </c>
      <c r="C10" s="25" t="n">
        <v>1</v>
      </c>
      <c r="D10" s="25" t="n">
        <v>2</v>
      </c>
      <c r="E10" s="25" t="n">
        <v>5</v>
      </c>
      <c r="F10" s="25" t="n">
        <v>2</v>
      </c>
      <c r="G10" s="23" t="inlineStr">
        <is>
          <t>Customer shared a URL directed to executive Twitter handle. Agent provided an irrelevant canned order tracking message. Retrieved evidence consisted of general link discussions (score 0.17) without context alignment. The agent auto-handled an out-of-domain conversational tweet with an unhelpful generic response.</t>
        </is>
      </c>
    </row>
    <row r="11" ht="45" customHeight="1">
      <c r="A11" s="30" t="n">
        <v>183483</v>
      </c>
      <c r="B11" s="32" t="n">
        <v>4</v>
      </c>
      <c r="C11" s="32" t="n">
        <v>3</v>
      </c>
      <c r="D11" s="32" t="n">
        <v>5</v>
      </c>
      <c r="E11" s="32" t="n">
        <v>5</v>
      </c>
      <c r="F11" s="32" t="n">
        <v>5</v>
      </c>
      <c r="G11" s="31" t="inlineStr">
        <is>
          <t>Japanese customer politely requested measures to prevent recurring delivery issues after procedure completion. Agent appropriately replied in polite Japanese (keigo), acknowledged the trouble, and guided the customer to provide the order number via DM for specialist review. Retrieved evidence directly matched delivery provider resolution patterns in Japanese (score 0.97). Escalation to specialist review was well-judged.</t>
        </is>
      </c>
    </row>
    <row r="12" ht="45" customHeight="1">
      <c r="A12" s="22" t="n">
        <v>234555</v>
      </c>
      <c r="B12" s="25" t="n">
        <v>1</v>
      </c>
      <c r="C12" s="25" t="n">
        <v>1</v>
      </c>
      <c r="D12" s="25" t="n">
        <v>2</v>
      </c>
      <c r="E12" s="25" t="n">
        <v>5</v>
      </c>
      <c r="F12" s="25" t="n">
        <v>2</v>
      </c>
      <c r="G12" s="23" t="inlineStr">
        <is>
          <t>Customer shared a promotional deal link/screenshot. Agent delivered an irrelevant canned order tracking response. Retrieved evidence referenced contest winner announcements (score 0.55) rather than deal verification. The agent auto-handled with an irrelevant order response instead of routing promotional queries.</t>
        </is>
      </c>
    </row>
    <row r="13" ht="45" customHeight="1">
      <c r="A13" s="30" t="n">
        <v>258713</v>
      </c>
      <c r="B13" s="32" t="n">
        <v>1</v>
      </c>
      <c r="C13" s="32" t="n">
        <v>1</v>
      </c>
      <c r="D13" s="32" t="n">
        <v>2</v>
      </c>
      <c r="E13" s="32" t="n">
        <v>5</v>
      </c>
      <c r="F13" s="32" t="n">
        <v>2</v>
      </c>
      <c r="G13" s="31" t="inlineStr">
        <is>
          <t>Customer protested a blocked product review with allegations of fraud (#ScamAtAmazon). Agent responded with a canned order lookup advice template. Retrieved evidence showed low-relevance return threads (score 0.13). The agent failed to escalate a community review moderation dispute, sending a repetitive template that increased customer friction.</t>
        </is>
      </c>
    </row>
    <row r="14" ht="45" customHeight="1">
      <c r="A14" s="22" t="n">
        <v>291347</v>
      </c>
      <c r="B14" s="25" t="n">
        <v>1</v>
      </c>
      <c r="C14" s="25" t="n">
        <v>1</v>
      </c>
      <c r="D14" s="25" t="n">
        <v>2</v>
      </c>
      <c r="E14" s="25" t="n">
        <v>5</v>
      </c>
      <c r="F14" s="25" t="n">
        <v>2</v>
      </c>
      <c r="G14" s="23" t="inlineStr">
        <is>
          <t>Customer vented frustration that Twitter support lacks back-end system access. Agent repeated a canned self-service template. Retrieved evidence had low relevance (score 0.14). The agent inappropriately auto-handled when severe customer hostility and back-end inquiry strictly required specialist routing.</t>
        </is>
      </c>
    </row>
    <row r="15" ht="45" customHeight="1">
      <c r="A15" s="30" t="n">
        <v>379700</v>
      </c>
      <c r="B15" s="32" t="n">
        <v>1</v>
      </c>
      <c r="C15" s="32" t="n">
        <v>1</v>
      </c>
      <c r="D15" s="32" t="n">
        <v>2</v>
      </c>
      <c r="E15" s="32" t="n">
        <v>5</v>
      </c>
      <c r="F15" s="32" t="n">
        <v>1</v>
      </c>
      <c r="G15" s="31" t="inlineStr">
        <is>
          <t>French positive humor tweet ('what is your secret to being so good?'). Agent mistakenly escalated with an apology and requested order number in French. Retrieved evidence had minimal relevance. The escalation was a false positive failure, treating playful customer banter as a severe logistics error.</t>
        </is>
      </c>
    </row>
    <row r="16" ht="45" customHeight="1">
      <c r="A16" s="22" t="n">
        <v>379788</v>
      </c>
      <c r="B16" s="25" t="n">
        <v>1</v>
      </c>
      <c r="C16" s="25" t="n">
        <v>1</v>
      </c>
      <c r="D16" s="25" t="n">
        <v>2</v>
      </c>
      <c r="E16" s="25" t="n">
        <v>5</v>
      </c>
      <c r="F16" s="25" t="n">
        <v>2</v>
      </c>
      <c r="G16" s="23" t="inlineStr">
        <is>
          <t>Customer received wrong item with photo comparison proof. Agent responded with generic order tracking advice. Retrieved evidence showed package delay threads (score 0.15). The agent failed to escalate or provide wrong-item replacement instructions, missing the core customer issue.</t>
        </is>
      </c>
    </row>
    <row r="17" ht="45" customHeight="1">
      <c r="A17" s="30" t="n">
        <v>459028</v>
      </c>
      <c r="B17" s="32" t="n">
        <v>5</v>
      </c>
      <c r="C17" s="32" t="n">
        <v>5</v>
      </c>
      <c r="D17" s="32" t="n">
        <v>4</v>
      </c>
      <c r="E17" s="32" t="n">
        <v>5</v>
      </c>
      <c r="F17" s="32" t="n">
        <v>5</v>
      </c>
      <c r="G17" s="31" t="inlineStr">
        <is>
          <t>Customer warned about SMS phishing and fake legal fee threats in Japanese. Agent correctly identified an account security threat, warned against sharing credentials, and requested safe DM contact in Japanese. Retrieved evidence contained phishing resolution patterns. Escalation to security specialists was flawless.</t>
        </is>
      </c>
    </row>
    <row r="18" ht="45" customHeight="1">
      <c r="A18" s="22" t="n">
        <v>483090</v>
      </c>
      <c r="B18" s="25" t="n">
        <v>4</v>
      </c>
      <c r="C18" s="25" t="n">
        <v>3</v>
      </c>
      <c r="D18" s="25" t="n">
        <v>4</v>
      </c>
      <c r="E18" s="25" t="n">
        <v>5</v>
      </c>
      <c r="F18" s="25" t="n">
        <v>5</v>
      </c>
      <c r="G18" s="23" t="inlineStr">
        <is>
          <t>French customer inquired about refusing a damaged carton and delivery signature forgery. Agent correctly escalated to a specialized agent via DM in French. Retrieved evidence matched French carrier dispute threads. Escalation to human specialist was completely appropriate for potential courier fraud.</t>
        </is>
      </c>
    </row>
    <row r="19" ht="45" customHeight="1">
      <c r="A19" s="30" t="n">
        <v>490648</v>
      </c>
      <c r="B19" s="32" t="n">
        <v>4</v>
      </c>
      <c r="C19" s="32" t="n">
        <v>3</v>
      </c>
      <c r="D19" s="32" t="n">
        <v>4</v>
      </c>
      <c r="E19" s="32" t="n">
        <v>5</v>
      </c>
      <c r="F19" s="32" t="n">
        <v>5</v>
      </c>
      <c r="G19" s="31" t="inlineStr">
        <is>
          <t>French customer reported an IT bug in the order portal preventing seller contact. Agent appropriately escalated the technical marketplace issue to a specialist via private message in French. Retrieved evidence supported seller contact troubleshooting. Escalation was well-reasoned and necessary.</t>
        </is>
      </c>
    </row>
    <row r="20" ht="45" customHeight="1">
      <c r="A20" s="22" t="n">
        <v>498538</v>
      </c>
      <c r="B20" s="25" t="n">
        <v>1</v>
      </c>
      <c r="C20" s="25" t="n">
        <v>1</v>
      </c>
      <c r="D20" s="25" t="n">
        <v>1</v>
      </c>
      <c r="E20" s="25" t="n">
        <v>5</v>
      </c>
      <c r="F20" s="25" t="n">
        <v>1</v>
      </c>
      <c r="G20" s="23" t="inlineStr">
        <is>
          <t>Customer complained about delayed next-day Prime delivery. Agent erroneously replied with Prime subscription cancellation and refund guidance. Retrieved evidence was misaligned around subscription administration. Escalation was a critical failure, misclassifying a logistics failure into subscription cancellation.</t>
        </is>
      </c>
    </row>
    <row r="21" ht="45" customHeight="1">
      <c r="A21" s="30" t="n">
        <v>508166</v>
      </c>
      <c r="B21" s="32" t="n">
        <v>1</v>
      </c>
      <c r="C21" s="32" t="n">
        <v>1</v>
      </c>
      <c r="D21" s="32" t="n">
        <v>2</v>
      </c>
      <c r="E21" s="32" t="n">
        <v>5</v>
      </c>
      <c r="F21" s="32" t="n">
        <v>2</v>
      </c>
      <c r="G21" s="31" t="inlineStr">
        <is>
          <t>Customer humorously shared a photo of wrong item received (cat food). Agent sent a generic order tracking template. Retrieved evidence contained general shipping checks (score 0.16). The agent failed to address the wrong item delivery or initiate a replacement flow.</t>
        </is>
      </c>
    </row>
    <row r="22" ht="45" customHeight="1">
      <c r="A22" s="22" t="n">
        <v>532639</v>
      </c>
      <c r="B22" s="25" t="n">
        <v>1</v>
      </c>
      <c r="C22" s="25" t="n">
        <v>1</v>
      </c>
      <c r="D22" s="25" t="n">
        <v>1</v>
      </c>
      <c r="E22" s="25" t="n">
        <v>5</v>
      </c>
      <c r="F22" s="25" t="n">
        <v>1</v>
      </c>
      <c r="G22" s="23" t="inlineStr">
        <is>
          <t>German conversational banter ('Schade. Da bin ich immer neugierig'). Agent sent a generic English order tracking response. Retrieved evidence contained English resolution pairs. The response failed language matching and irrelevantly provided tracking steps for casual banter.</t>
        </is>
      </c>
    </row>
    <row r="23" ht="45" customHeight="1">
      <c r="A23" s="30" t="n">
        <v>649952</v>
      </c>
      <c r="B23" s="32" t="n">
        <v>1</v>
      </c>
      <c r="C23" s="32" t="n">
        <v>1</v>
      </c>
      <c r="D23" s="32" t="n">
        <v>1</v>
      </c>
      <c r="E23" s="32" t="n">
        <v>5</v>
      </c>
      <c r="F23" s="32" t="n">
        <v>1</v>
      </c>
      <c r="G23" s="31" t="inlineStr">
        <is>
          <t>Japanese customer expressed delight that separate orders arrived consolidated in one box. Agent inappropriately apologized for inconvenience and requested order number via DM in Japanese. Retrieved evidence was ungrounded. The escalation was a critical false-positive failure on positive customer praise.</t>
        </is>
      </c>
    </row>
    <row r="24" ht="45" customHeight="1">
      <c r="A24" s="22" t="n">
        <v>679078</v>
      </c>
      <c r="B24" s="25" t="n">
        <v>1</v>
      </c>
      <c r="C24" s="25" t="n">
        <v>1</v>
      </c>
      <c r="D24" s="25" t="n">
        <v>1</v>
      </c>
      <c r="E24" s="25" t="n">
        <v>5</v>
      </c>
      <c r="F24" s="25" t="n">
        <v>1</v>
      </c>
      <c r="G24" s="23" t="inlineStr">
        <is>
          <t>Japanese customer shared a positive purchase experience regarding a cheap welding cartridge. Agent inappropriately apologized for trouble and requested order number via DM in Japanese. Retrieved evidence was empty. Unnecessary escalation and apology for a positive review.</t>
        </is>
      </c>
    </row>
    <row r="25" ht="45" customHeight="1">
      <c r="A25" s="30" t="n">
        <v>701334</v>
      </c>
      <c r="B25" s="32" t="n">
        <v>1</v>
      </c>
      <c r="C25" s="32" t="n">
        <v>1</v>
      </c>
      <c r="D25" s="32" t="n">
        <v>1</v>
      </c>
      <c r="E25" s="32" t="n">
        <v>5</v>
      </c>
      <c r="F25" s="32" t="n">
        <v>1</v>
      </c>
      <c r="G25" s="31" t="inlineStr">
        <is>
          <t>Customer complained that Prime Now delivery failed while waiting at home with no call. Agent provided Prime subscription cancellation instructions. Retrieved evidence misaligned around membership management. Critical escalation failure misdirecting urgent courier non-delivery into account cancellation.</t>
        </is>
      </c>
    </row>
    <row r="26" ht="45" customHeight="1">
      <c r="A26" s="22" t="n">
        <v>909507</v>
      </c>
      <c r="B26" s="25" t="n">
        <v>5</v>
      </c>
      <c r="C26" s="25" t="n">
        <v>5</v>
      </c>
      <c r="D26" s="25" t="n">
        <v>4</v>
      </c>
      <c r="E26" s="25" t="n">
        <v>5</v>
      </c>
      <c r="F26" s="25" t="n">
        <v>5</v>
      </c>
      <c r="G26" s="23" t="inlineStr">
        <is>
          <t>Customer requested team to check direct message ('kindly check DM Team'). Agent appropriately apologized, flagged for specialist review, and guided secure DM communication. Retrieved evidence supported DM routing. Escalation decision was appropriate and handled securely.</t>
        </is>
      </c>
    </row>
    <row r="27" ht="45" customHeight="1">
      <c r="A27" s="30" t="n">
        <v>944251</v>
      </c>
      <c r="B27" s="32" t="n">
        <v>1</v>
      </c>
      <c r="C27" s="32" t="n">
        <v>1</v>
      </c>
      <c r="D27" s="32" t="n">
        <v>2</v>
      </c>
      <c r="E27" s="32" t="n">
        <v>5</v>
      </c>
      <c r="F27" s="32" t="n">
        <v>1</v>
      </c>
      <c r="G27" s="31" t="inlineStr">
        <is>
          <t>Customer simply replied 'Done.' to a previous support instruction. Agent responded with a canned generic order tracking template. Retrieved evidence had low relevance. The agent failed conversation state tracking by treating thread closure as a new tracking inquiry.</t>
        </is>
      </c>
    </row>
    <row r="28" ht="45" customHeight="1">
      <c r="A28" s="22" t="n">
        <v>947686</v>
      </c>
      <c r="B28" s="25" t="n">
        <v>1</v>
      </c>
      <c r="C28" s="25" t="n">
        <v>1</v>
      </c>
      <c r="D28" s="25" t="n">
        <v>2</v>
      </c>
      <c r="E28" s="25" t="n">
        <v>5</v>
      </c>
      <c r="F28" s="25" t="n">
        <v>2</v>
      </c>
      <c r="G28" s="23" t="inlineStr">
        <is>
          <t>Customer complained of chronic late delivery and receiving an expired product. Agent sent a generic order status response. Retrieved evidence showed general package delays. The agent failed to escalate an expired consumable product complaint involving customer health/safety.</t>
        </is>
      </c>
    </row>
    <row r="29" ht="45" customHeight="1">
      <c r="A29" s="30" t="n">
        <v>984200</v>
      </c>
      <c r="B29" s="32" t="n">
        <v>5</v>
      </c>
      <c r="C29" s="32" t="n">
        <v>4</v>
      </c>
      <c r="D29" s="32" t="n">
        <v>3</v>
      </c>
      <c r="E29" s="32" t="n">
        <v>5</v>
      </c>
      <c r="F29" s="32" t="n">
        <v>3</v>
      </c>
      <c r="G29" s="31" t="inlineStr">
        <is>
          <t>Customer reported a Kindle for PC page layout formatting issue. Agent provided relevant digital device and app troubleshooting steps (restart, clear cache, update app). Retrieved evidence matched digital device support. Auto-handling was acceptable for routine digital troubleshooting.</t>
        </is>
      </c>
    </row>
    <row r="30" ht="45" customHeight="1">
      <c r="A30" s="22" t="n">
        <v>1113514</v>
      </c>
      <c r="B30" s="25" t="n">
        <v>1</v>
      </c>
      <c r="C30" s="25" t="n">
        <v>1</v>
      </c>
      <c r="D30" s="25" t="n">
        <v>1</v>
      </c>
      <c r="E30" s="25" t="n">
        <v>5</v>
      </c>
      <c r="F30" s="25" t="n">
        <v>1</v>
      </c>
      <c r="G30" s="23" t="inlineStr">
        <is>
          <t>Customer posted promotional hashtags (#amazongreatindianfestival) and image without a question. Agent responded with generic order status advice. Retrieved evidence was ungrounded. Critical failure delivering unprompted order tracking advice to promotional media.</t>
        </is>
      </c>
    </row>
    <row r="31" ht="45" customHeight="1">
      <c r="A31" s="30" t="n">
        <v>1300626</v>
      </c>
      <c r="B31" s="32" t="n">
        <v>1</v>
      </c>
      <c r="C31" s="32" t="n">
        <v>1</v>
      </c>
      <c r="D31" s="32" t="n">
        <v>2</v>
      </c>
      <c r="E31" s="32" t="n">
        <v>5</v>
      </c>
      <c r="F31" s="32" t="n">
        <v>2</v>
      </c>
      <c r="G31" s="31" t="inlineStr">
        <is>
          <t>Customer asked for a direct link to online chat regarding one-day shipping delays. Agent gave generic order lookup advice without the chat link. Retrieved evidence contained shipping delay threads (score 0.16). The agent failed to answer the customer's direct question or escalate.</t>
        </is>
      </c>
    </row>
    <row r="32" ht="45" customHeight="1">
      <c r="A32" s="22" t="n">
        <v>1313039</v>
      </c>
      <c r="B32" s="25" t="n">
        <v>1</v>
      </c>
      <c r="C32" s="25" t="n">
        <v>1</v>
      </c>
      <c r="D32" s="25" t="n">
        <v>2</v>
      </c>
      <c r="E32" s="25" t="n">
        <v>5</v>
      </c>
      <c r="F32" s="25" t="n">
        <v>1</v>
      </c>
      <c r="G32" s="23" t="inlineStr">
        <is>
          <t>Customer expressed hope parcel would be left with neighbor for a new coffee machine. Agent delivered generic order tracking advice. Retrieved evidence had low relevance. Conversational delivery anticipation was mistakenly treated as an active delivery failure.</t>
        </is>
      </c>
    </row>
    <row r="33" ht="45" customHeight="1">
      <c r="A33" s="30" t="n">
        <v>1362458</v>
      </c>
      <c r="B33" s="32" t="n">
        <v>1</v>
      </c>
      <c r="C33" s="32" t="n">
        <v>1</v>
      </c>
      <c r="D33" s="32" t="n">
        <v>2</v>
      </c>
      <c r="E33" s="32" t="n">
        <v>5</v>
      </c>
      <c r="F33" s="32" t="n">
        <v>2</v>
      </c>
      <c r="G33" s="31" t="inlineStr">
        <is>
          <t>Customer clarified carrier was AMZL US and noted recurring apartment delivery problems. Agent repeated canned order tracking text. Retrieved evidence showed general logistics pairs. Failed to escalate chronic carrier building-access logistics complaints.</t>
        </is>
      </c>
    </row>
    <row r="34" ht="45" customHeight="1">
      <c r="A34" s="22" t="n">
        <v>1382396</v>
      </c>
      <c r="B34" s="25" t="n">
        <v>1</v>
      </c>
      <c r="C34" s="25" t="n">
        <v>1</v>
      </c>
      <c r="D34" s="25" t="n">
        <v>1</v>
      </c>
      <c r="E34" s="25" t="n">
        <v>5</v>
      </c>
      <c r="F34" s="25" t="n">
        <v>1</v>
      </c>
      <c r="G34" s="23" t="inlineStr">
        <is>
          <t>Customer complained about telephone support imposing a one-week delay on order replacement. Agent gave Online Returns Center refund instructions. Retrieved evidence misaligned around return center policies. Critical failure sending refund instructions to customer awaiting a replacement.</t>
        </is>
      </c>
    </row>
    <row r="35" ht="45" customHeight="1">
      <c r="A35" s="30" t="n">
        <v>1572905</v>
      </c>
      <c r="B35" s="32" t="n">
        <v>1</v>
      </c>
      <c r="C35" s="32" t="n">
        <v>1</v>
      </c>
      <c r="D35" s="32" t="n">
        <v>2</v>
      </c>
      <c r="E35" s="32" t="n">
        <v>5</v>
      </c>
      <c r="F35" s="32" t="n">
        <v>2</v>
      </c>
      <c r="G35" s="31" t="inlineStr">
        <is>
          <t>Customer alleged scam regarding checkout price change and doubled delivery charges. Agent sent canned order lookup advice. Retrieved evidence showed price discrepancy pairs. Failed to escalate checkout fee dispute requiring billing investigation.</t>
        </is>
      </c>
    </row>
    <row r="36" ht="45" customHeight="1">
      <c r="A36" s="22" t="n">
        <v>1691622</v>
      </c>
      <c r="B36" s="25" t="n">
        <v>1</v>
      </c>
      <c r="C36" s="25" t="n">
        <v>1</v>
      </c>
      <c r="D36" s="25" t="n">
        <v>1</v>
      </c>
      <c r="E36" s="25" t="n">
        <v>5</v>
      </c>
      <c r="F36" s="25" t="n">
        <v>2</v>
      </c>
      <c r="G36" s="23" t="inlineStr">
        <is>
          <t>Customer alleged contest winners list was fraudulent with fake accounts. Agent gave generic order tracking advice. Retrieved evidence was ungrounded. Misdirected canned response completely disconnected from promotional contest fraud inquiry.</t>
        </is>
      </c>
    </row>
    <row r="37" ht="45" customHeight="1">
      <c r="A37" s="30" t="n">
        <v>1764531</v>
      </c>
      <c r="B37" s="32" t="n">
        <v>5</v>
      </c>
      <c r="C37" s="32" t="n">
        <v>4</v>
      </c>
      <c r="D37" s="32" t="n">
        <v>3</v>
      </c>
      <c r="E37" s="32" t="n">
        <v>5</v>
      </c>
      <c r="F37" s="32" t="n">
        <v>5</v>
      </c>
      <c r="G37" s="31" t="inlineStr">
        <is>
          <t>Spanish customer reported blocked account while attempting to place an order. Agent escalated in Spanish to a specialized agent via private message. Retrieved evidence matched Spanish account access pairs. Escalation decision was completely appropriate for account lockout.</t>
        </is>
      </c>
    </row>
    <row r="38" ht="45" customHeight="1">
      <c r="A38" s="22" t="n">
        <v>1829432</v>
      </c>
      <c r="B38" s="25" t="n">
        <v>1</v>
      </c>
      <c r="C38" s="25" t="n">
        <v>1</v>
      </c>
      <c r="D38" s="25" t="n">
        <v>2</v>
      </c>
      <c r="E38" s="25" t="n">
        <v>5</v>
      </c>
      <c r="F38" s="25" t="n">
        <v>2</v>
      </c>
      <c r="G38" s="23" t="inlineStr">
        <is>
          <t>Customer recovering from surgery complained essential comfort items had not arrived. Agent gave robotic order lookup advice. Retrieved evidence showed general package delays. Tone-deaf response failed to escalate urgent medical-recovery delivery delay.</t>
        </is>
      </c>
    </row>
    <row r="39" ht="45" customHeight="1">
      <c r="A39" s="30" t="n">
        <v>2126759</v>
      </c>
      <c r="B39" s="32" t="n">
        <v>4</v>
      </c>
      <c r="C39" s="32" t="n">
        <v>3</v>
      </c>
      <c r="D39" s="32" t="n">
        <v>3</v>
      </c>
      <c r="E39" s="32" t="n">
        <v>5</v>
      </c>
      <c r="F39" s="32" t="n">
        <v>2</v>
      </c>
      <c r="G39" s="31" t="inlineStr">
        <is>
          <t>Customer inquired on status of two specific orders overdue since 2nd November. Agent provided standard self-service order check guidance with Order ID request. Retrieved evidence matched delivery tracking (score 0.17). Guidance was clear, but multi-order overdue status warranted proactive DM investigation.</t>
        </is>
      </c>
    </row>
    <row r="40" ht="45" customHeight="1">
      <c r="A40" s="22" t="n">
        <v>2184761</v>
      </c>
      <c r="B40" s="25" t="n">
        <v>1</v>
      </c>
      <c r="C40" s="25" t="n">
        <v>1</v>
      </c>
      <c r="D40" s="25" t="n">
        <v>1</v>
      </c>
      <c r="E40" s="25" t="n">
        <v>5</v>
      </c>
      <c r="F40" s="25" t="n">
        <v>2</v>
      </c>
      <c r="G40" s="23" t="inlineStr">
        <is>
          <t>Customer asked pre-sales question whether Echo Plus in India includes a Hue bulb. Agent gave device reboot and app cache clearing instructions. Retrieved evidence was misaligned on device failure. Irrelevant troubleshooting response to pre-sales product specification query.</t>
        </is>
      </c>
    </row>
    <row r="41" ht="45" customHeight="1">
      <c r="A41" s="30" t="n">
        <v>2254381</v>
      </c>
      <c r="B41" s="32" t="n">
        <v>1</v>
      </c>
      <c r="C41" s="32" t="n">
        <v>1</v>
      </c>
      <c r="D41" s="32" t="n">
        <v>1</v>
      </c>
      <c r="E41" s="32" t="n">
        <v>5</v>
      </c>
      <c r="F41" s="32" t="n">
        <v>2</v>
      </c>
      <c r="G41" s="31" t="inlineStr">
        <is>
          <t>Portuguese customer reported postal code and state mismatch error during checkout. Agent sent generic English order status template. Retrieved evidence was ungrounded in English. Response failed language matching and did not assist with checkout address error.</t>
        </is>
      </c>
    </row>
    <row r="42" ht="45" customHeight="1">
      <c r="A42" s="22" t="n">
        <v>2465040</v>
      </c>
      <c r="B42" s="25" t="n">
        <v>1</v>
      </c>
      <c r="C42" s="25" t="n">
        <v>1</v>
      </c>
      <c r="D42" s="25" t="n">
        <v>1</v>
      </c>
      <c r="E42" s="25" t="n">
        <v>5</v>
      </c>
      <c r="F42" s="25" t="n">
        <v>1</v>
      </c>
      <c r="G42" s="23" t="inlineStr">
        <is>
          <t>Spanish banter asking if Amazon had a spare Nintendo Switch. Agent apologized for inconvenience and escalated for specialist review in Spanish. Retrieved evidence had low relevance. Critical failure treating casual gaming banter as a severe customer incident.</t>
        </is>
      </c>
    </row>
    <row r="43" ht="45" customHeight="1">
      <c r="A43" s="30" t="n">
        <v>2531101</v>
      </c>
      <c r="B43" s="32" t="n">
        <v>2</v>
      </c>
      <c r="C43" s="32" t="n">
        <v>1</v>
      </c>
      <c r="D43" s="32" t="n">
        <v>1</v>
      </c>
      <c r="E43" s="32" t="n">
        <v>5</v>
      </c>
      <c r="F43" s="32" t="n">
        <v>2</v>
      </c>
      <c r="G43" s="31" t="inlineStr">
        <is>
          <t>Japanese customer enthusiastically singing about joining Amazon Music Unlimited. Agent apologized for inconvenience and requested order number via DM in Japanese. Retrieved evidence had low relevance. Inappropriate apology and escalation for enthusiastic customer praise.</t>
        </is>
      </c>
    </row>
    <row r="44" ht="45" customHeight="1">
      <c r="A44" s="22" t="n">
        <v>2541046</v>
      </c>
      <c r="B44" s="25" t="n">
        <v>2</v>
      </c>
      <c r="C44" s="25" t="n">
        <v>2</v>
      </c>
      <c r="D44" s="25" t="n">
        <v>3</v>
      </c>
      <c r="E44" s="25" t="n">
        <v>5</v>
      </c>
      <c r="F44" s="25" t="n">
        <v>3</v>
      </c>
      <c r="G44" s="23" t="inlineStr">
        <is>
          <t>Customer claimed lightning deal price was higher than regular price ('day light cheating'). Agent gave general order modification and promo code entry advice. Retrieved evidence matched promo codes. Response partially addressed promo codes but missed pricing dispute.</t>
        </is>
      </c>
    </row>
    <row r="45" ht="45" customHeight="1">
      <c r="A45" s="30" t="n">
        <v>2611666</v>
      </c>
      <c r="B45" s="32" t="n">
        <v>2</v>
      </c>
      <c r="C45" s="32" t="n">
        <v>2</v>
      </c>
      <c r="D45" s="32" t="n">
        <v>2</v>
      </c>
      <c r="E45" s="32" t="n">
        <v>5</v>
      </c>
      <c r="F45" s="32" t="n">
        <v>2</v>
      </c>
      <c r="G45" s="31" t="inlineStr">
        <is>
          <t>Customer clarified app environment and marketplace domain (.co.uk). Agent repeated generic order lookup template. Retrieved evidence had low relevance. Failed to maintain thread continuity, resetting to initial canned template.</t>
        </is>
      </c>
    </row>
    <row r="46" ht="45" customHeight="1">
      <c r="A46" s="22" t="n">
        <v>2777430</v>
      </c>
      <c r="B46" s="25" t="n">
        <v>2</v>
      </c>
      <c r="C46" s="25" t="n">
        <v>2</v>
      </c>
      <c r="D46" s="25" t="n">
        <v>3</v>
      </c>
      <c r="E46" s="25" t="n">
        <v>5</v>
      </c>
      <c r="F46" s="25" t="n">
        <v>2</v>
      </c>
      <c r="G46" s="23" t="inlineStr">
        <is>
          <t>Customer clarified navigation link disappeared in Kindle app. Agent gave general Kindle device restart troubleshooting. Retrieved evidence matched Kindle digital support. General restart advice missed the specific link navigation bug.</t>
        </is>
      </c>
    </row>
    <row r="47" ht="45" customHeight="1">
      <c r="A47" s="30" t="n">
        <v>2803279</v>
      </c>
      <c r="B47" s="32" t="n">
        <v>1</v>
      </c>
      <c r="C47" s="32" t="n">
        <v>1</v>
      </c>
      <c r="D47" s="32" t="n">
        <v>1</v>
      </c>
      <c r="E47" s="32" t="n">
        <v>5</v>
      </c>
      <c r="F47" s="32" t="n">
        <v>3</v>
      </c>
      <c r="G47" s="31" t="inlineStr">
        <is>
          <t>Customer humorously questioned receiving automated text recommending cat products when they have no cat. Agent gave canned generic order tracking advice. Retrieved evidence was ungrounded. Canned order reply was irrelevant to algorithmic recommendation humor.</t>
        </is>
      </c>
    </row>
    <row r="48" ht="45" customHeight="1">
      <c r="A48" s="22" t="n">
        <v>2841828</v>
      </c>
      <c r="B48" s="25" t="n">
        <v>1</v>
      </c>
      <c r="C48" s="25" t="n">
        <v>1</v>
      </c>
      <c r="D48" s="25" t="n">
        <v>2</v>
      </c>
      <c r="E48" s="25" t="n">
        <v>5</v>
      </c>
      <c r="F48" s="25" t="n">
        <v>1</v>
      </c>
      <c r="G48" s="23" t="inlineStr">
        <is>
          <t>Portuguese customer shared anticipation for weekend delivery. Agent sent Spanish apology escalating for specialist manual review. Retrieved evidence was in Spanish. Critical failure confusing Spanish for Portuguese and unnecessarily escalating positive anticipation.</t>
        </is>
      </c>
    </row>
    <row r="49" ht="45" customHeight="1">
      <c r="A49" s="30" t="n">
        <v>2899522</v>
      </c>
      <c r="B49" s="32" t="n">
        <v>1</v>
      </c>
      <c r="C49" s="32" t="n">
        <v>1</v>
      </c>
      <c r="D49" s="32" t="n">
        <v>1</v>
      </c>
      <c r="E49" s="32" t="n">
        <v>5</v>
      </c>
      <c r="F49" s="32" t="n">
        <v>1</v>
      </c>
      <c r="G49" s="31" t="inlineStr">
        <is>
          <t>Customer expressed heartfelt gratitude for surprise cosy gift delivery. Agent delivered canned generic order lookup template. Retrieved evidence was ungrounded. Critical failure sending canned order tracking reply in response to customer praise.</t>
        </is>
      </c>
    </row>
    <row r="50" ht="45" customHeight="1">
      <c r="A50" s="22" t="n">
        <v>2922515</v>
      </c>
      <c r="B50" s="25" t="n">
        <v>1</v>
      </c>
      <c r="C50" s="25" t="n">
        <v>1</v>
      </c>
      <c r="D50" s="25" t="n">
        <v>1</v>
      </c>
      <c r="E50" s="25" t="n">
        <v>5</v>
      </c>
      <c r="F50" s="25" t="n">
        <v>1</v>
      </c>
      <c r="G50" s="23" t="inlineStr">
        <is>
          <t>Customer complained of late Prime shipping from 3rd party vendor. Agent gave Prime subscription cancellation instructions. Retrieved evidence misaligned on membership management. Critical failure misdirecting seller delivery delay into membership cancellation.</t>
        </is>
      </c>
    </row>
    <row r="51" ht="45" customHeight="1">
      <c r="A51" s="30" t="n">
        <v>2926332</v>
      </c>
      <c r="B51" s="32" t="n">
        <v>4</v>
      </c>
      <c r="C51" s="32" t="n">
        <v>3</v>
      </c>
      <c r="D51" s="32" t="n">
        <v>2</v>
      </c>
      <c r="E51" s="32" t="n">
        <v>5</v>
      </c>
      <c r="F51" s="32" t="n">
        <v>5</v>
      </c>
      <c r="G51" s="31" t="inlineStr">
        <is>
          <t>Japanese customer debated whether to contact marketplace seller about delay. Agent politely guided to DM for specialist assistance in Japanese. Retrieved evidence had low relevance. Correct specialist escalation in Japanese for marketplace seller delay.</t>
        </is>
      </c>
    </row>
    <row r="52" ht="45" customHeight="1">
      <c r="A52" s="22" t="n">
        <v>2927090</v>
      </c>
      <c r="B52" s="25" t="n">
        <v>3</v>
      </c>
      <c r="C52" s="25" t="n">
        <v>3</v>
      </c>
      <c r="D52" s="25" t="n">
        <v>3</v>
      </c>
      <c r="E52" s="25" t="n">
        <v>5</v>
      </c>
      <c r="F52" s="25" t="n">
        <v>4</v>
      </c>
      <c r="G52" s="23" t="inlineStr">
        <is>
          <t>Spanish customer complained carrier does not call upon delivery unlike DHL/Fedex. Agent appropriately offered specialist escalation via private message in Spanish. Retrieved evidence matched Spanish carrier pairs. Well-reasoned escalation for courier delivery policy feedback.</t>
        </is>
      </c>
    </row>
    <row r="53" ht="45" customHeight="1">
      <c r="A53" s="30" t="n">
        <v>2971945</v>
      </c>
      <c r="B53" s="32" t="n">
        <v>3</v>
      </c>
      <c r="C53" s="32" t="n">
        <v>2</v>
      </c>
      <c r="D53" s="32" t="n">
        <v>2</v>
      </c>
      <c r="E53" s="32" t="n">
        <v>5</v>
      </c>
      <c r="F53" s="32" t="n">
        <v>4</v>
      </c>
      <c r="G53" s="31" t="inlineStr">
        <is>
          <t>Japanese customer shared personal story on why they love Amazon Prime. Agent provided standard polite Japanese support greeting and DM inquiry. Retrieved evidence matched general support. Harmless polite routing, though testimonial did not strictly require escalation.</t>
        </is>
      </c>
    </row>
  </sheetData>
  <autoFilter ref="A3:G53"/>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2026-09-09T12:34:11Z</dcterms:created>
  <dcterms:modified xsi:type="dcterms:W3CDTF">2026-09-09T12:47:51Z</dcterms:modified>
</cp:coreProperties>
</file>